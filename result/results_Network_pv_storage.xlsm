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6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emand01" sheetId="8" state="hidden" r:id="rId8"/>
    <sheet name="Gen01" sheetId="9" state="hidden" r:id="rId9"/>
    <sheet name="Gen02" sheetId="10" state="hidden" r:id="rId10"/>
    <sheet name="bus01" sheetId="11" state="hidden" r:id="rId11"/>
    <sheet name="Lines01" sheetId="12" state="hidden" r:id="rId12"/>
    <sheet name="Lines02" sheetId="13" state="hidden" r:id="rId13"/>
    <sheet name="Trafos01" sheetId="14" state="hidden" r:id="rId14"/>
    <sheet name="Trafos02" sheetId="15" state="hidden" r:id="rId15"/>
  </sheets>
  <definedNames/>
  <calcPr calcId="191029" fullCalcOnLoad="1"/>
  <pivotCaches>
    <pivotCache cacheId="26" r:id="rId16"/>
    <pivotCache cacheId="9" r:id="rId17"/>
    <pivotCache cacheId="22" r:id="rId18"/>
    <pivotCache cacheId="13" r:id="rId19"/>
    <pivotCache cacheId="17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  <xf numFmtId="0" fontId="3" fillId="0" borderId="0" applyAlignment="1" pivotButton="0" quotePrefix="0" xfId="0">
      <alignment horizontal="center" vertical="top" wrapText="1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ill>
        <patternFill patternType="solid">
          <fgColor theme="8" tint="0.7999816888943144"/>
          <bgColor theme="8" tint="0.7999816888943144"/>
        </patternFill>
      </fill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pivotCacheDefinition" Target="/xl/pivotCache/pivotCacheDefinition1.xml" Id="rId16" /><Relationship Type="http://schemas.openxmlformats.org/officeDocument/2006/relationships/pivotCacheDefinition" Target="/xl/pivotCache/pivotCacheDefinition2.xml" Id="rId17" /><Relationship Type="http://schemas.openxmlformats.org/officeDocument/2006/relationships/pivotCacheDefinition" Target="/xl/pivotCache/pivotCacheDefinition3.xml" Id="rId18" /><Relationship Type="http://schemas.openxmlformats.org/officeDocument/2006/relationships/pivotCacheDefinition" Target="/xl/pivotCache/pivotCacheDefinition4.xml" Id="rId19" /><Relationship Type="http://schemas.openxmlformats.org/officeDocument/2006/relationships/pivotCacheDefinition" Target="/xl/pivotCache/pivotCacheDefinition5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[output_template.xlsm]Trafos02!PivotTable1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Grand 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</f>
              <strCache>
                <ptCount val="1"/>
                <pt idx="0">
                  <v>Grand Total</v>
                </pt>
              </strCache>
            </strRef>
          </cat>
          <val>
            <numRef>
              <f>Trafos02!$B$6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'Gen01'!$C$3:$C$4</f>
              <strCache>
                <ptCount val="1"/>
                <pt idx="0">
                  <v>(blank)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'Gen01'!$B$5:$B$6</f>
              <strCache>
                <ptCount val="1"/>
                <pt idx="0">
                  <v>(blank)</v>
                </pt>
              </strCache>
            </strRef>
          </cat>
          <val>
            <numRef>
              <f>'Gen01'!$C$5:$C$6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'bus01'!$A$5:$A$6</f>
              <strCache>
                <ptCount val="1"/>
                <pt idx="0">
                  <v>(blank)</v>
                </pt>
              </strCache>
            </strRef>
          </cat>
          <val>
            <numRef>
              <f>'bus01'!$B$5:$B$6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5</col>
      <colOff>126124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38.51350439815" createdVersion="8" refreshedVersion="8" minRefreshableVersion="3" recordCount="1" r:id="rId1">
  <cacheSource type="worksheet">
    <worksheetSource name="Demand"/>
  </cacheSource>
  <cacheFields count="7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38.51336747685" createdVersion="8" refreshedVersion="8" minRefreshableVersion="3" recordCount="1" r:id="rId1">
  <cacheSource type="worksheet">
    <worksheetSource name="Generation"/>
  </cacheSource>
  <cacheFields count="15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type" uniqueList="1" numFmtId="0" sqlType="0" hierarchy="0" level="0" databaseField="1">
      <sharedItems count="0" containsBlank="1" containsNonDate="0" containsString="0"/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name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NG" u="1"/>
        <s v="Wind" u="1"/>
        <s v="Coal" u="1"/>
        <s v="---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38.51347488426" createdVersion="8" refreshedVersion="8" minRefreshableVersion="3" recordCount="1" r:id="rId1">
  <cacheSource type="worksheet">
    <worksheetSource name="Buses"/>
  </cacheSource>
  <cacheFields count="1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7" u="1"/>
        <n v="3" u="1"/>
        <n v="170" u="1"/>
        <n v="109" u="1"/>
        <n v="223" u="1"/>
        <n v="143" u="1"/>
        <n v="196" u="1"/>
        <n v="82" u="1"/>
        <n v="53" u="1"/>
        <n v="33" u="1"/>
        <n v="169" u="1"/>
        <n v="142" u="1"/>
        <n v="95" u="1"/>
        <n v="195" u="1"/>
        <n v="248" u="1"/>
        <n v="168" u="1"/>
        <n v="108" u="1"/>
        <n v="46" u="1"/>
        <n v="29" u="1"/>
        <n v="221" u="1"/>
        <n v="141" u="1"/>
        <n v="194" u="1"/>
        <n v="81" u="1"/>
        <n v="247" u="1"/>
        <n v="167" u="1"/>
        <n v="140" u="1"/>
        <n v="94" u="1"/>
        <n v="39" u="1"/>
        <n v="290" u="1"/>
        <n v="246" u="1"/>
        <n v="107" u="1"/>
        <n v="289" u="1"/>
        <n v="219" u="1"/>
        <n v="288" u="1"/>
        <n v="192" u="1"/>
        <n v="120" u="1"/>
        <n v="80" u="1"/>
        <n v="52" u="1"/>
        <n v="32" u="1"/>
        <n v="245" u="1"/>
        <n v="287" u="1"/>
        <n v="6" u="1"/>
        <n v="138" u="1"/>
        <n v="1" u="1"/>
        <n v="286" u="1"/>
        <n v="244" u="1"/>
        <n v="106" u="1"/>
        <n v="285" u="1"/>
        <n v="45" u="1"/>
        <n v="137" u="1"/>
        <n v="190" u="1"/>
        <n v="119" u="1"/>
        <n v="79" u="1"/>
        <n v="243" u="1"/>
        <n v="216" u="1"/>
        <n v="136" u="1"/>
        <n v="58" u="1"/>
        <n v="38" u="1"/>
        <n v="189" u="1"/>
        <n v="242" u="1"/>
        <n v="162" u="1"/>
        <n v="281" u="1"/>
        <n v="65" u="1"/>
        <n v="215" u="1"/>
        <n v="188" u="1"/>
        <n v="118" u="1"/>
        <n v="78" u="1"/>
        <n v="51" u="1"/>
        <n v="241" u="1"/>
        <n v="161" u="1"/>
        <n v="134" u="1"/>
        <n v="240" u="1"/>
        <n v="104" u="1"/>
        <n v="64" u="1"/>
        <n v="44" u="1"/>
        <n v="213" u="1"/>
        <n v="133" u="1"/>
        <n v="5" u="1"/>
        <n v="186" u="1"/>
        <n v="2" u="1"/>
        <n v="117" u="1"/>
        <n v="77" u="1"/>
        <n v="239" u="1"/>
        <n v="159" u="1"/>
        <n v="275" u="1"/>
        <n v="132" u="1"/>
        <n v="57" u="1"/>
        <n v="37" u="1"/>
        <n v="238" u="1"/>
        <n v="103" u="1"/>
        <n v="273" u="1"/>
        <n v="131" u="1"/>
        <n v="184" u="1"/>
        <n v="116" u="1"/>
        <n v="76" u="1"/>
        <n v="50" u="1"/>
        <n v="31" u="1"/>
        <n v="237" u="1"/>
        <n v="157" u="1"/>
        <n v="271" u="1"/>
        <n v="210" u="1"/>
        <n v="236" u="1"/>
        <n v="102" u="1"/>
        <n v="269" u="1"/>
        <n v="43" u="1"/>
        <n v="129" u="1"/>
        <n v="75" u="1"/>
        <n v="235" u="1"/>
        <n v="155" u="1"/>
        <n v="56" u="1"/>
        <n v="36" u="1"/>
        <n v="181" u="1"/>
        <n v="319" u="1"/>
        <n v="4" u="1"/>
        <n v="101" u="1"/>
        <n v="318" u="1"/>
        <n v="207" u="1"/>
        <n v="317" u="1"/>
        <n v="74" u="1"/>
        <n v="49" u="1"/>
        <n v="153" u="1"/>
        <n v="316" u="1"/>
        <n v="315" u="1"/>
        <n v="100" u="1"/>
        <n v="42" u="1"/>
        <n v="314" u="1"/>
        <n v="205" u="1"/>
        <n v="178" u="1"/>
        <n v="313" u="1"/>
        <n v="73" u="1"/>
        <n v="231" u="1"/>
        <n v="312" u="1"/>
        <n v="126" u="1"/>
        <n v="86" u="1"/>
        <n v="55" u="1"/>
        <n v="35" u="1"/>
        <n v="150" u="1"/>
        <n v="176" u="1"/>
        <n v="72" u="1"/>
        <n v="48" u="1"/>
        <n v="30" u="1"/>
        <n v="229" u="1"/>
        <n v="149" u="1"/>
        <n v="8" u="1"/>
        <n v="85" u="1"/>
        <n v="148" u="1"/>
        <n v="98" u="1"/>
        <n v="41" u="1"/>
        <n v="201" u="1"/>
        <n v="174" u="1"/>
        <n v="111" u="1"/>
        <n v="305" u="1"/>
        <n v="71" u="1"/>
        <n v="227" u="1"/>
        <n v="147" u="1"/>
        <n v="304" u="1"/>
        <n v="200" u="1"/>
        <n v="84" u="1"/>
        <n v="54" u="1"/>
        <n v="34" u="1"/>
        <n v="253" u="1"/>
        <n v="173" u="1"/>
        <n v="303" u="1"/>
        <n v="146" u="1"/>
        <n v="199" u="1"/>
        <n v="172" u="1"/>
        <n v="110" u="1"/>
        <n v="301" u="1"/>
        <n v="47" u="1"/>
        <n v="145" u="1"/>
        <n v="198" u="1"/>
        <n v="83" u="1"/>
        <n v="171" u="1"/>
        <n v="224" u="1"/>
        <n v="144" u="1"/>
        <n v="40" u="1"/>
        <n v="298" u="1"/>
        <n v="197" u="1"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38.51340451389" createdVersion="8" refreshedVersion="8" minRefreshableVersion="3" recordCount="1" r:id="rId1">
  <cacheSource type="worksheet">
    <worksheetSource name="Lines"/>
  </cacheSource>
  <cacheFields count="1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38.51343946759" createdVersion="8" refreshedVersion="8" minRefreshableVersion="3" recordCount="1" r:id="rId1">
  <cacheSource type="worksheet">
    <worksheetSource name="Trafos"/>
  </cacheSource>
  <cacheFields count="2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m/>
    <x v="0"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26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/>
  <pivotFields count="7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_mw" fld="5" subtotal="sum" showDataAs="normal" baseField="0" baseItem="0"/>
  </dataFields>
  <chartFormats count="1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9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D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chartFormats count="4">
    <chartFormat chart="1" format="15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7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7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9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C6" firstHeaderRow="1" firstDataRow="2" firstDataCol="1" rowPageCount="1" colPageCount="1"/>
  <pivotFields count="15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1"/>
        <item t="data" sd="1" m="1" x="2"/>
        <item t="data" sd="1" x="0"/>
        <item t="data" sd="1" m="1" x="4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7"/>
  </colFields>
  <colItems count="2">
    <i t="data" r="0" i="0">
      <x v="3"/>
    </i>
    <i t="grand" r="0" i="0">
      <x v="0"/>
    </i>
  </colItems>
  <pageFields count="1">
    <pageField fld="3" hier="-1"/>
  </pageFields>
  <dataFields count="1">
    <dataField name="Sum of p_mw " fld="13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6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45"/>
        <item t="data" sd="1" m="1" x="81"/>
        <item t="data" sd="1" m="1" x="3"/>
        <item t="data" sd="1" m="1" x="115"/>
        <item t="data" sd="1" m="1" x="79"/>
        <item t="data" sd="1" m="1" x="43"/>
        <item t="data" sd="1" m="1" x="2"/>
        <item t="data" sd="1" m="1" x="145"/>
        <item t="data" sd="1" m="1" x="20"/>
        <item t="data" sd="1" m="1" x="142"/>
        <item t="data" sd="1" m="1" x="98"/>
        <item t="data" sd="1" m="1" x="40"/>
        <item t="data" sd="1" m="1" x="11"/>
        <item t="data" sd="1" m="1" x="161"/>
        <item t="data" sd="1" m="1" x="137"/>
        <item t="data" sd="1" m="1" x="112"/>
        <item t="data" sd="1" m="1" x="89"/>
        <item t="data" sd="1" m="1" x="59"/>
        <item t="data" sd="1" m="1" x="29"/>
        <item t="data" sd="1" m="1" x="177"/>
        <item t="data" sd="1" m="1" x="149"/>
        <item t="data" sd="1" m="1" x="126"/>
        <item t="data" sd="1" m="1" x="106"/>
        <item t="data" sd="1" m="1" x="76"/>
        <item t="data" sd="1" m="1" x="50"/>
        <item t="data" sd="1" m="1" x="19"/>
        <item t="data" sd="1" m="1" x="170"/>
        <item t="data" sd="1" m="1" x="141"/>
        <item t="data" sd="1" m="1" x="121"/>
        <item t="data" sd="1" m="1" x="97"/>
        <item t="data" sd="1" m="1" x="69"/>
        <item t="data" sd="1" m="1" x="39"/>
        <item t="data" sd="1" m="1" x="10"/>
        <item t="data" sd="1" m="1" x="160"/>
        <item t="data" sd="1" m="1" x="136"/>
        <item t="data" sd="1" m="1" x="111"/>
        <item t="data" sd="1" m="1" x="88"/>
        <item t="data" sd="1" m="1" x="58"/>
        <item t="data" sd="1" m="1" x="75"/>
        <item t="data" sd="1" m="1" x="64"/>
        <item t="data" sd="1" m="1" x="154"/>
        <item t="data" sd="1" m="1" x="140"/>
        <item t="data" sd="1" m="1" x="131"/>
        <item t="data" sd="1" m="1" x="120"/>
        <item t="data" sd="1" m="1" x="108"/>
        <item t="data" sd="1" m="1" x="96"/>
        <item t="data" sd="1" m="1" x="83"/>
        <item t="data" sd="1" m="1" x="68"/>
        <item t="data" sd="1" m="1" x="54"/>
        <item t="data" sd="1" m="1" x="38"/>
        <item t="data" sd="1" m="1" x="24"/>
        <item t="data" sd="1" m="1" x="9"/>
        <item t="data" sd="1" m="1" x="173"/>
        <item t="data" sd="1" m="1" x="159"/>
        <item t="data" sd="1" m="1" x="146"/>
        <item t="data" sd="1" m="1" x="135"/>
        <item t="data" sd="1" m="1" x="28"/>
        <item t="data" sd="1" m="1" x="14"/>
        <item t="data" sd="1" m="1" x="148"/>
        <item t="data" sd="1" m="1" x="125"/>
        <item t="data" sd="1" m="1" x="116"/>
        <item t="data" sd="1" m="1" x="104"/>
        <item t="data" sd="1" m="1" x="91"/>
        <item t="data" sd="1" m="1" x="74"/>
        <item t="data" sd="1" m="1" x="48"/>
        <item t="data" sd="1" m="1" x="32"/>
        <item t="data" sd="1" m="1" x="18"/>
        <item t="data" sd="1" m="1" x="5"/>
        <item t="data" sd="1" m="1" x="168"/>
        <item t="data" sd="1" m="1" x="152"/>
        <item t="data" sd="1" m="1" x="95"/>
        <item t="data" sd="1" m="1" x="82"/>
        <item t="data" sd="1" m="1" x="67"/>
        <item t="data" sd="1" m="1" x="53"/>
        <item t="data" sd="1" m="1" x="37"/>
        <item t="data" sd="1" m="1" x="134"/>
        <item t="data" sd="1" m="1" x="107"/>
        <item t="data" sd="1" m="1" x="93"/>
        <item t="data" sd="1" m="1" x="87"/>
        <item t="data" sd="1" m="1" x="78"/>
        <item t="data" sd="1" m="1" x="72"/>
        <item t="data" sd="1" m="1" x="57"/>
        <item t="data" sd="1" m="1" x="51"/>
        <item t="data" sd="1" m="1" x="44"/>
        <item t="data" sd="1" m="1" x="27"/>
        <item t="data" sd="1" m="1" x="22"/>
        <item t="data" sd="1" m="1" x="13"/>
        <item t="data" sd="1" m="1" x="7"/>
        <item t="data" sd="1" m="1" x="176"/>
        <item t="data" sd="1" m="1" x="171"/>
        <item t="data" sd="1" m="1" x="165"/>
        <item t="data" sd="1" m="1" x="156"/>
        <item t="data" sd="1" m="1" x="147"/>
        <item t="data" sd="1" m="1" x="144"/>
        <item t="data" sd="1" m="1" x="138"/>
        <item t="data" sd="1" m="1" x="122"/>
        <item t="data" sd="1" m="1" x="110"/>
        <item t="data" sd="1" m="1" x="100"/>
        <item t="data" sd="1" m="1" x="85"/>
        <item t="data" sd="1" m="1" x="71"/>
        <item t="data" sd="1" m="1" x="62"/>
        <item t="data" sd="1" m="1" x="26"/>
        <item t="data" sd="1" m="1" x="17"/>
        <item t="data" sd="1" m="1" x="12"/>
        <item t="data" sd="1" m="1" x="4"/>
        <item t="data" sd="1" m="1" x="174"/>
        <item t="data" sd="1" m="1" x="167"/>
        <item t="data" sd="1" m="1" x="163"/>
        <item t="data" sd="1" m="1" x="151"/>
        <item t="data" sd="1" m="1" x="139"/>
        <item t="data" sd="1" m="1" x="129"/>
        <item t="data" sd="1" m="1" x="113"/>
        <item t="data" sd="1" m="1" x="94"/>
        <item t="data" sd="1" m="1" x="80"/>
        <item t="data" sd="1" m="1" x="66"/>
        <item t="data" sd="1" m="1" x="60"/>
        <item t="data" sd="1" m="1" x="52"/>
        <item t="data" sd="1" m="1" x="36"/>
        <item t="data" sd="1" m="1" x="23"/>
        <item t="data" sd="1" m="1" x="15"/>
        <item t="data" sd="1" m="1" x="8"/>
        <item t="data" sd="1" m="1" x="179"/>
        <item t="data" sd="1" m="1" x="172"/>
        <item t="data" sd="1" m="1" x="166"/>
        <item t="data" sd="1" m="1" x="158"/>
        <item t="data" sd="1" m="1" x="150"/>
        <item t="data" sd="1" m="1" x="128"/>
        <item t="data" sd="1" m="1" x="118"/>
        <item t="data" sd="1" m="1" x="102"/>
        <item t="data" sd="1" m="1" x="77"/>
        <item t="data" sd="1" m="1" x="65"/>
        <item t="data" sd="1" m="1" x="56"/>
        <item t="data" sd="1" m="1" x="34"/>
        <item t="data" sd="1" m="1" x="21"/>
        <item t="data" sd="1" m="1" x="6"/>
        <item t="data" sd="1" m="1" x="175"/>
        <item t="data" sd="1" m="1" x="155"/>
        <item t="data" sd="1" m="1" x="143"/>
        <item t="data" sd="1" m="1" x="132"/>
        <item t="data" sd="1" m="1" x="109"/>
        <item t="data" sd="1" m="1" x="103"/>
        <item t="data" sd="1" m="1" x="99"/>
        <item t="data" sd="1" m="1" x="90"/>
        <item t="data" sd="1" m="1" x="84"/>
        <item t="data" sd="1" m="1" x="73"/>
        <item t="data" sd="1" m="1" x="70"/>
        <item t="data" sd="1" m="1" x="61"/>
        <item t="data" sd="1" m="1" x="55"/>
        <item t="data" sd="1" m="1" x="47"/>
        <item t="data" sd="1" m="1" x="41"/>
        <item t="data" sd="1" m="1" x="31"/>
        <item t="data" sd="1" m="1" x="25"/>
        <item t="data" sd="1" m="1" x="16"/>
        <item t="data" sd="1" m="1" x="162"/>
        <item t="data" sd="1" m="1" x="105"/>
        <item t="data" sd="1" m="1" x="101"/>
        <item t="data" sd="1" m="1" x="92"/>
        <item t="data" sd="1" m="1" x="86"/>
        <item t="data" sd="1" m="1" x="63"/>
        <item t="data" sd="1" m="1" x="49"/>
        <item t="data" sd="1" m="1" x="46"/>
        <item t="data" sd="1" m="1" x="42"/>
        <item t="data" sd="1" m="1" x="35"/>
        <item t="data" sd="1" m="1" x="33"/>
        <item t="data" sd="1" m="1" x="30"/>
        <item t="data" sd="1" m="1" x="178"/>
        <item t="data" sd="1" m="1" x="169"/>
        <item t="data" sd="1" m="1" x="164"/>
        <item t="data" sd="1" m="1" x="157"/>
        <item t="data" sd="1" m="1" x="153"/>
        <item t="data" sd="1" m="1" x="133"/>
        <item t="data" sd="1" m="1" x="130"/>
        <item t="data" sd="1" m="1" x="127"/>
        <item t="data" sd="1" m="1" x="124"/>
        <item t="data" sd="1" m="1" x="123"/>
        <item t="data" sd="1" m="1" x="119"/>
        <item t="data" sd="1" m="1" x="117"/>
        <item t="data" sd="1" m="1" x="114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Items count="1">
    <i t="data" r="0" i="0"/>
  </colItems>
  <pageFields count="2">
    <pageField fld="2" hier="-1"/>
    <pageField fld="0" item="20" hier="-1"/>
  </pageFields>
  <dataFields count="1">
    <dataField name="Sum of vm_pu" fld="6" subtotal="sum" showDataAs="normal" baseField="0" baseItem="0"/>
  </dataFields>
  <chartFormats count="1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hier="-1"/>
  </pageFields>
  <dataFields count="3">
    <dataField name="Max of loading_percent" fld="18" subtotal="max" showDataAs="normal" baseField="1" baseItem="92"/>
    <dataField name="Min of loading_percent" fld="18" subtotal="min" showDataAs="normal" baseField="9" baseItem="0"/>
    <dataField name="Average of loading_percent" fld="18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1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/>
  <pivotFields count="1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2"/>
  </colFields>
  <colItems count="2">
    <i t="data" r="0" i="0">
      <x v="1"/>
    </i>
    <i t="grand" r="0" i="0">
      <x v="0"/>
    </i>
  </colItems>
  <dataFields count="1">
    <dataField name="Sum of pl_mw" fld="16" subtotal="sum" showDataAs="normal" baseField="0" baseItem="0"/>
  </dataFields>
  <chartFormats count="1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2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1">
    <pageField fld="2" item="1" hier="-1"/>
  </pageFields>
  <dataFields count="3">
    <dataField name="Max of loading_percent" fld="20" subtotal="max" showDataAs="normal" baseField="9" baseItem="0"/>
    <dataField name="Min of loading_percent" fld="20" subtotal="min" showDataAs="normal" baseField="0" baseItem="1"/>
    <dataField name="Average of loading_percent" fld="20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1" cacheId="17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6" firstHeaderRow="1" firstDataRow="2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h="1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">
    <i t="grand" r="0" i="0">
      <x v="0"/>
    </i>
  </rowItems>
  <colFields count="1">
    <field x="2"/>
  </colFields>
  <colItems count="1">
    <i t="grand" r="0" i="0">
      <x v="0"/>
    </i>
  </colItems>
  <dataFields count="1">
    <dataField name="Sum of pl_mw" fld="18" subtotal="sum" showDataAs="normal" baseField="0" baseItem="0"/>
  </dataFields>
  <chartFormats count="2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2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2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12" headerRowCount="1" insertRow="1" totalsRowShown="0" headerRowDxfId="45">
  <autoFilter ref="C4:R5"/>
  <tableColumns count="16">
    <tableColumn id="16" name="Step"/>
    <tableColumn id="12" name="index" dataDxfId="44"/>
    <tableColumn id="13" name="scenario" dataDxfId="1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4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2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5" headerRowCount="1" insertRow="1" totalsRowShown="0" headerRowDxfId="43" dataDxfId="42">
  <autoFilter ref="C4:X5"/>
  <tableColumns count="22">
    <tableColumn id="20" name="step"/>
    <tableColumn id="1" name="index" dataDxfId="41" totalsRowDxfId="40"/>
    <tableColumn id="21" name="scenario" totalsRowDxfId="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workbookViewId="0">
      <selection activeCell="D23" sqref="D23"/>
    </sheetView>
  </sheetViews>
  <sheetFormatPr baseColWidth="8" defaultRowHeight="15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55" zoomScaleNormal="100" workbookViewId="0">
      <selection activeCell="F111" sqref="F111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12"/>
  <sheetViews>
    <sheetView workbookViewId="0">
      <selection activeCell="F5" sqref="F5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pv_storage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0.008</v>
      </c>
      <c r="K5" t="n">
        <v>0</v>
      </c>
    </row>
    <row r="6">
      <c r="C6" s="5" t="n">
        <v>0</v>
      </c>
      <c r="D6" t="n">
        <v>1</v>
      </c>
      <c r="E6" t="inlineStr">
        <is>
          <t>pv_storage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0.008</v>
      </c>
      <c r="K6" t="n">
        <v>0</v>
      </c>
    </row>
    <row r="7">
      <c r="C7" t="n">
        <v>0</v>
      </c>
      <c r="D7" t="n">
        <v>2</v>
      </c>
      <c r="E7" t="inlineStr">
        <is>
          <t>pv_storage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0.008</v>
      </c>
      <c r="K7" t="n">
        <v>0</v>
      </c>
    </row>
    <row r="8">
      <c r="C8" t="n">
        <v>0</v>
      </c>
      <c r="D8" t="n">
        <v>3</v>
      </c>
      <c r="E8" t="inlineStr">
        <is>
          <t>pv_storage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0.008</v>
      </c>
      <c r="K8" t="n">
        <v>0</v>
      </c>
    </row>
    <row r="9">
      <c r="C9" t="n">
        <v>0</v>
      </c>
      <c r="D9" t="n">
        <v>4</v>
      </c>
      <c r="E9" t="inlineStr">
        <is>
          <t>pv_storage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0.008</v>
      </c>
      <c r="K9" t="n">
        <v>0</v>
      </c>
    </row>
    <row r="10">
      <c r="C10" t="n">
        <v>0</v>
      </c>
      <c r="D10" t="n">
        <v>5</v>
      </c>
      <c r="E10" t="inlineStr">
        <is>
          <t>pv_storage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0.008</v>
      </c>
      <c r="K10" t="n">
        <v>0</v>
      </c>
    </row>
    <row r="11">
      <c r="C11" t="n">
        <v>0</v>
      </c>
      <c r="D11" t="n">
        <v>6</v>
      </c>
      <c r="E11" t="inlineStr">
        <is>
          <t>pv_storage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0.008</v>
      </c>
      <c r="K11" t="n">
        <v>0</v>
      </c>
    </row>
    <row r="12">
      <c r="C12" t="n">
        <v>0</v>
      </c>
      <c r="D12" t="n">
        <v>7</v>
      </c>
      <c r="E12" t="inlineStr">
        <is>
          <t>pv_storage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0.008</v>
      </c>
      <c r="K12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12"/>
  <sheetViews>
    <sheetView workbookViewId="0">
      <selection activeCell="K15" sqref="K15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17" t="inlineStr">
        <is>
          <t>Generator Index</t>
        </is>
      </c>
      <c r="E3" s="17" t="inlineStr">
        <is>
          <t>Scenario Name</t>
        </is>
      </c>
      <c r="F3" s="17" t="inlineStr">
        <is>
          <t>Zone</t>
        </is>
      </c>
      <c r="G3" s="17" t="inlineStr">
        <is>
          <t>Name</t>
        </is>
      </c>
      <c r="H3" s="17" t="inlineStr">
        <is>
          <t>Type</t>
        </is>
      </c>
      <c r="I3" s="17" t="inlineStr">
        <is>
          <t>Bus Index</t>
        </is>
      </c>
      <c r="J3" s="17" t="inlineStr">
        <is>
          <t>In Service</t>
        </is>
      </c>
      <c r="K3" s="17" t="inlineStr">
        <is>
          <t>Fuel / Source</t>
        </is>
      </c>
      <c r="L3" s="17" t="inlineStr">
        <is>
          <t>Voltage Setting Point [PV bus]</t>
        </is>
      </c>
      <c r="M3" s="17" t="inlineStr">
        <is>
          <t>Maximum Active Power [MW]</t>
        </is>
      </c>
      <c r="N3" s="17" t="inlineStr">
        <is>
          <t>Maximum Reactive Power [MVAr]</t>
        </is>
      </c>
      <c r="O3" s="17" t="inlineStr">
        <is>
          <t>Minimum Active Power [MW]</t>
        </is>
      </c>
      <c r="P3" s="17" t="inlineStr">
        <is>
          <t>Minimum Reactive Power [MVAr]</t>
        </is>
      </c>
      <c r="Q3" s="17" t="inlineStr">
        <is>
          <t xml:space="preserve"> Active Power [MW]</t>
        </is>
      </c>
      <c r="R3" s="17" t="inlineStr">
        <is>
          <t xml:space="preserve"> Reactive Power [MVAr]</t>
        </is>
      </c>
    </row>
    <row r="4" ht="30" customFormat="1" customHeight="1" s="12">
      <c r="B4" s="17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pv_storage</t>
        </is>
      </c>
      <c r="F5" t="inlineStr">
        <is>
          <t>---</t>
        </is>
      </c>
      <c r="G5" t="inlineStr">
        <is>
          <t>pv1</t>
        </is>
      </c>
      <c r="H5" t="inlineStr">
        <is>
          <t>sgen</t>
        </is>
      </c>
      <c r="I5" t="n">
        <v>2</v>
      </c>
      <c r="J5" t="n">
        <v>1</v>
      </c>
      <c r="K5" t="inlineStr">
        <is>
          <t>---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0.006</v>
      </c>
      <c r="R5" t="n">
        <v>0</v>
      </c>
    </row>
    <row r="6">
      <c r="C6" s="5" t="n">
        <v>0</v>
      </c>
      <c r="D6" t="n">
        <v>1</v>
      </c>
      <c r="E6" t="inlineStr">
        <is>
          <t>pv_storage</t>
        </is>
      </c>
      <c r="F6" t="inlineStr">
        <is>
          <t>---</t>
        </is>
      </c>
      <c r="G6" t="inlineStr">
        <is>
          <t>pv2</t>
        </is>
      </c>
      <c r="H6" t="inlineStr">
        <is>
          <t>sgen</t>
        </is>
      </c>
      <c r="I6" t="n">
        <v>3</v>
      </c>
      <c r="J6" t="n">
        <v>1</v>
      </c>
      <c r="K6" t="inlineStr">
        <is>
          <t>---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0.006</v>
      </c>
      <c r="R6" t="n">
        <v>0</v>
      </c>
    </row>
    <row r="7">
      <c r="C7" t="n">
        <v>0</v>
      </c>
      <c r="D7" t="n">
        <v>2</v>
      </c>
      <c r="E7" t="inlineStr">
        <is>
          <t>pv_storage</t>
        </is>
      </c>
      <c r="F7" t="inlineStr">
        <is>
          <t>---</t>
        </is>
      </c>
      <c r="G7" t="inlineStr">
        <is>
          <t>pv3</t>
        </is>
      </c>
      <c r="H7" t="inlineStr">
        <is>
          <t>sgen</t>
        </is>
      </c>
      <c r="I7" t="n">
        <v>4</v>
      </c>
      <c r="J7" t="n">
        <v>1</v>
      </c>
      <c r="K7" t="inlineStr">
        <is>
          <t>---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0.006</v>
      </c>
      <c r="R7" t="n">
        <v>0</v>
      </c>
    </row>
    <row r="8">
      <c r="C8" t="n">
        <v>0</v>
      </c>
      <c r="D8" t="n">
        <v>3</v>
      </c>
      <c r="E8" t="inlineStr">
        <is>
          <t>pv_storage</t>
        </is>
      </c>
      <c r="F8" t="inlineStr">
        <is>
          <t>---</t>
        </is>
      </c>
      <c r="G8" t="inlineStr">
        <is>
          <t>pv4</t>
        </is>
      </c>
      <c r="H8" t="inlineStr">
        <is>
          <t>sgen</t>
        </is>
      </c>
      <c r="I8" t="n">
        <v>5</v>
      </c>
      <c r="J8" t="n">
        <v>1</v>
      </c>
      <c r="K8" t="inlineStr">
        <is>
          <t>---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n">
        <v>0.006</v>
      </c>
      <c r="R8" t="n">
        <v>0</v>
      </c>
    </row>
    <row r="9">
      <c r="C9" t="n">
        <v>0</v>
      </c>
      <c r="D9" t="n">
        <v>4</v>
      </c>
      <c r="E9" t="inlineStr">
        <is>
          <t>pv_storage</t>
        </is>
      </c>
      <c r="F9" t="inlineStr">
        <is>
          <t>---</t>
        </is>
      </c>
      <c r="G9" t="inlineStr">
        <is>
          <t>pv5</t>
        </is>
      </c>
      <c r="H9" t="inlineStr">
        <is>
          <t>sgen</t>
        </is>
      </c>
      <c r="I9" t="n">
        <v>6</v>
      </c>
      <c r="J9" t="n">
        <v>1</v>
      </c>
      <c r="K9" t="inlineStr">
        <is>
          <t>---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0.006</v>
      </c>
      <c r="R9" t="n">
        <v>0</v>
      </c>
    </row>
    <row r="10">
      <c r="C10" t="n">
        <v>0</v>
      </c>
      <c r="D10" t="n">
        <v>5</v>
      </c>
      <c r="E10" t="inlineStr">
        <is>
          <t>pv_storage</t>
        </is>
      </c>
      <c r="F10" t="inlineStr">
        <is>
          <t>---</t>
        </is>
      </c>
      <c r="G10" t="inlineStr">
        <is>
          <t>pv6</t>
        </is>
      </c>
      <c r="H10" t="inlineStr">
        <is>
          <t>sgen</t>
        </is>
      </c>
      <c r="I10" t="n">
        <v>7</v>
      </c>
      <c r="J10" t="n">
        <v>1</v>
      </c>
      <c r="K10" t="inlineStr">
        <is>
          <t>---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0.006</v>
      </c>
      <c r="R10" t="n">
        <v>0</v>
      </c>
    </row>
    <row r="11">
      <c r="C11" t="n">
        <v>0</v>
      </c>
      <c r="D11" t="n">
        <v>6</v>
      </c>
      <c r="E11" t="inlineStr">
        <is>
          <t>pv_storage</t>
        </is>
      </c>
      <c r="F11" t="inlineStr">
        <is>
          <t>---</t>
        </is>
      </c>
      <c r="G11" t="inlineStr">
        <is>
          <t>pv7</t>
        </is>
      </c>
      <c r="H11" t="inlineStr">
        <is>
          <t>sgen</t>
        </is>
      </c>
      <c r="I11" t="n">
        <v>8</v>
      </c>
      <c r="J11" t="n">
        <v>1</v>
      </c>
      <c r="K11" t="inlineStr">
        <is>
          <t>---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0.006</v>
      </c>
      <c r="R11" t="n">
        <v>0</v>
      </c>
    </row>
    <row r="12">
      <c r="C12" t="n">
        <v>0</v>
      </c>
      <c r="D12" t="n">
        <v>7</v>
      </c>
      <c r="E12" t="inlineStr">
        <is>
          <t>pv_storage</t>
        </is>
      </c>
      <c r="F12" t="inlineStr">
        <is>
          <t>---</t>
        </is>
      </c>
      <c r="G12" t="inlineStr">
        <is>
          <t>pv8</t>
        </is>
      </c>
      <c r="H12" t="inlineStr">
        <is>
          <t>sgen</t>
        </is>
      </c>
      <c r="I12" t="n">
        <v>9</v>
      </c>
      <c r="J12" t="n">
        <v>1</v>
      </c>
      <c r="K12" t="inlineStr">
        <is>
          <t>---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0.006</v>
      </c>
      <c r="R12" t="n">
        <v>0</v>
      </c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14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pv_storage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-0.05738362632397</v>
      </c>
      <c r="M5" t="n">
        <v>-0.001332206036371141</v>
      </c>
    </row>
    <row r="6">
      <c r="C6" s="5" t="n">
        <v>0</v>
      </c>
      <c r="D6" t="n">
        <v>1</v>
      </c>
      <c r="E6" t="inlineStr">
        <is>
          <t>pv_storage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0.9928695568174057</v>
      </c>
      <c r="K6" t="n">
        <v>-1.249523954212233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pv_storage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0.988366128543508</v>
      </c>
      <c r="K7" t="n">
        <v>-1.289709938936233</v>
      </c>
      <c r="L7" t="n">
        <v>0.007000000000000001</v>
      </c>
      <c r="M7" t="n">
        <v>0</v>
      </c>
    </row>
    <row r="8">
      <c r="C8" t="n">
        <v>0</v>
      </c>
      <c r="D8" t="n">
        <v>3</v>
      </c>
      <c r="E8" t="inlineStr">
        <is>
          <t>pv_storage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0.9846082720509814</v>
      </c>
      <c r="K8" t="n">
        <v>-1.323479240066863</v>
      </c>
      <c r="L8" t="n">
        <v>0.006999999999999999</v>
      </c>
      <c r="M8" t="n">
        <v>0</v>
      </c>
    </row>
    <row r="9">
      <c r="C9" t="n">
        <v>0</v>
      </c>
      <c r="D9" t="n">
        <v>4</v>
      </c>
      <c r="E9" t="inlineStr">
        <is>
          <t>pv_storage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0.9815986983702413</v>
      </c>
      <c r="K9" t="n">
        <v>-1.35068093281448</v>
      </c>
      <c r="L9" t="n">
        <v>0.006999999999999998</v>
      </c>
      <c r="M9" t="n">
        <v>0</v>
      </c>
    </row>
    <row r="10">
      <c r="C10" t="n">
        <v>0</v>
      </c>
      <c r="D10" t="n">
        <v>5</v>
      </c>
      <c r="E10" t="inlineStr">
        <is>
          <t>pv_storage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0.9793395922897993</v>
      </c>
      <c r="K10" t="n">
        <v>-1.371191957388747</v>
      </c>
      <c r="L10" t="n">
        <v>0.006999999999999999</v>
      </c>
      <c r="M10" t="n">
        <v>0</v>
      </c>
    </row>
    <row r="11">
      <c r="C11" t="n">
        <v>0</v>
      </c>
      <c r="D11" t="n">
        <v>6</v>
      </c>
      <c r="E11" t="inlineStr">
        <is>
          <t>pv_storage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0.9778326018045479</v>
      </c>
      <c r="K11" t="n">
        <v>-1.38491863872427</v>
      </c>
      <c r="L11" t="n">
        <v>0.006999999999999999</v>
      </c>
      <c r="M11" t="n">
        <v>0</v>
      </c>
    </row>
    <row r="12">
      <c r="C12" t="n">
        <v>0</v>
      </c>
      <c r="D12" t="n">
        <v>7</v>
      </c>
      <c r="E12" t="inlineStr">
        <is>
          <t>pv_storage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0.9770788300884947</v>
      </c>
      <c r="K12" t="n">
        <v>-1.391797859720698</v>
      </c>
      <c r="L12" t="n">
        <v>0.006999999999999999</v>
      </c>
      <c r="M12" t="n">
        <v>0</v>
      </c>
    </row>
    <row r="13">
      <c r="C13" t="n">
        <v>0</v>
      </c>
      <c r="D13" t="n">
        <v>8</v>
      </c>
      <c r="E13" t="inlineStr">
        <is>
          <t>pv_storage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0.9896943647991482</v>
      </c>
      <c r="K13" t="n">
        <v>-1.278038832413662</v>
      </c>
      <c r="L13" t="n">
        <v>0.006999999999999999</v>
      </c>
      <c r="M13" t="n">
        <v>0</v>
      </c>
    </row>
    <row r="14">
      <c r="C14" t="n">
        <v>0</v>
      </c>
      <c r="D14" t="n">
        <v>9</v>
      </c>
      <c r="E14" t="inlineStr">
        <is>
          <t>pv_storage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0.9881055549683417</v>
      </c>
      <c r="K14" t="n">
        <v>-1.292365011163694</v>
      </c>
      <c r="L14" t="n">
        <v>0.006999999999999999</v>
      </c>
      <c r="M14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12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pv_storage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0.04248840743197548</v>
      </c>
      <c r="Q5" t="n">
        <v>7.607248946595166e-05</v>
      </c>
      <c r="R5" t="n">
        <v>-0.04229573248458901</v>
      </c>
      <c r="S5" t="n">
        <v>-4.606217034706635e-05</v>
      </c>
      <c r="T5" t="n">
        <v>0.0001926749473864717</v>
      </c>
      <c r="U5" t="n">
        <v>3.001031911888531e-05</v>
      </c>
      <c r="V5" t="n">
        <v>22.87676292724345</v>
      </c>
    </row>
    <row r="6">
      <c r="C6" s="5" t="n">
        <v>0</v>
      </c>
      <c r="D6" t="n">
        <v>1</v>
      </c>
      <c r="E6" t="inlineStr">
        <is>
          <t>pv_storage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0.0352957324846012</v>
      </c>
      <c r="Q6" t="n">
        <v>4.606217039194451e-05</v>
      </c>
      <c r="R6" t="n">
        <v>-0.03516155588829051</v>
      </c>
      <c r="S6" t="n">
        <v>-2.516333259186055e-05</v>
      </c>
      <c r="T6" t="n">
        <v>0.0001341765963106811</v>
      </c>
      <c r="U6" t="n">
        <v>2.089883780008396e-05</v>
      </c>
      <c r="V6" t="n">
        <v>19.090633161369</v>
      </c>
    </row>
    <row r="7">
      <c r="C7" t="n">
        <v>0</v>
      </c>
      <c r="D7" t="n">
        <v>2</v>
      </c>
      <c r="E7" t="inlineStr">
        <is>
          <t>pv_storage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0.02816155588831145</v>
      </c>
      <c r="Q7" t="n">
        <v>2.516333262707685e-05</v>
      </c>
      <c r="R7" t="n">
        <v>-0.02807548544945857</v>
      </c>
      <c r="S7" t="n">
        <v>-1.175732747843417e-05</v>
      </c>
      <c r="T7" t="n">
        <v>8.607043885287824e-05</v>
      </c>
      <c r="U7" t="n">
        <v>1.340600514864267e-05</v>
      </c>
      <c r="V7" t="n">
        <v>15.29005176484726</v>
      </c>
    </row>
    <row r="8">
      <c r="C8" t="n">
        <v>0</v>
      </c>
      <c r="D8" t="n">
        <v>3</v>
      </c>
      <c r="E8" t="inlineStr">
        <is>
          <t>pv_storage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0.02107548544949366</v>
      </c>
      <c r="Q8" t="n">
        <v>1.175732749115761e-05</v>
      </c>
      <c r="R8" t="n">
        <v>-0.02102698400184128</v>
      </c>
      <c r="S8" t="n">
        <v>-4.202925938077539e-06</v>
      </c>
      <c r="T8" t="n">
        <v>4.850144765238332e-05</v>
      </c>
      <c r="U8" t="n">
        <v>7.554401553080069e-06</v>
      </c>
      <c r="V8" t="n">
        <v>11.47781704289834</v>
      </c>
    </row>
    <row r="9">
      <c r="C9" t="n">
        <v>0</v>
      </c>
      <c r="D9" t="n">
        <v>4</v>
      </c>
      <c r="E9" t="inlineStr">
        <is>
          <t>pv_storage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0.01402698400189467</v>
      </c>
      <c r="Q9" t="n">
        <v>4.202925922983493e-06</v>
      </c>
      <c r="R9" t="n">
        <v>-0.01400540012984216</v>
      </c>
      <c r="S9" t="n">
        <v>-8.41103865143768e-07</v>
      </c>
      <c r="T9" t="n">
        <v>2.158387205250696e-05</v>
      </c>
      <c r="U9" t="n">
        <v>3.361822057839725e-06</v>
      </c>
      <c r="V9" t="n">
        <v>7.656788060250741</v>
      </c>
    </row>
    <row r="10">
      <c r="C10" t="n">
        <v>0</v>
      </c>
      <c r="D10" t="n">
        <v>5</v>
      </c>
      <c r="E10" t="inlineStr">
        <is>
          <t>pv_storage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0.007005400129903528</v>
      </c>
      <c r="Q10" t="n">
        <v>8.411038227181238e-07</v>
      </c>
      <c r="R10" t="n">
        <v>-0.006999999999930779</v>
      </c>
      <c r="S10" t="n">
        <v>-5.721115313266079e-14</v>
      </c>
      <c r="T10" t="n">
        <v>5.4001299727496e-06</v>
      </c>
      <c r="U10" t="n">
        <v>8.411037655069707e-07</v>
      </c>
      <c r="V10" t="n">
        <v>3.829870183253259</v>
      </c>
    </row>
    <row r="11">
      <c r="C11" t="n">
        <v>0</v>
      </c>
      <c r="D11" t="n">
        <v>6</v>
      </c>
      <c r="E11" t="inlineStr">
        <is>
          <t>pv_storage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0.01405620439380708</v>
      </c>
      <c r="Q11" t="n">
        <v>8.754183250922552e-06</v>
      </c>
      <c r="R11" t="n">
        <v>-0.01401125532811103</v>
      </c>
      <c r="S11" t="n">
        <v>-1.75308723957343e-06</v>
      </c>
      <c r="T11" t="n">
        <v>4.494906569605175e-05</v>
      </c>
      <c r="U11" t="n">
        <v>7.001096011349122e-06</v>
      </c>
      <c r="V11" t="n">
        <v>7.56818205177521</v>
      </c>
    </row>
    <row r="12">
      <c r="C12" t="n">
        <v>0</v>
      </c>
      <c r="D12" t="n">
        <v>7</v>
      </c>
      <c r="E12" t="inlineStr">
        <is>
          <t>pv_storage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0.007011255328121574</v>
      </c>
      <c r="Q12" t="n">
        <v>1.753087236161662e-06</v>
      </c>
      <c r="R12" t="n">
        <v>-0.006999999999987318</v>
      </c>
      <c r="S12" t="n">
        <v>-9.832927657868473e-15</v>
      </c>
      <c r="T12" t="n">
        <v>1.125532813425582e-05</v>
      </c>
      <c r="U12" t="n">
        <v>1.753087226328735e-06</v>
      </c>
      <c r="V12" t="n">
        <v>3.787130898372515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5"/>
  <sheetViews>
    <sheetView tabSelected="1"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17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pv_storage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0.0573836263236549</v>
      </c>
      <c r="S5" t="n">
        <v>0.001332206036184225</v>
      </c>
      <c r="T5" t="n">
        <v>-0.05654461182574288</v>
      </c>
      <c r="U5" t="n">
        <v>-8.482667249480038e-05</v>
      </c>
      <c r="V5" t="n">
        <v>0.0008390144979120231</v>
      </c>
      <c r="W5" t="n">
        <v>0.001247379363689424</v>
      </c>
      <c r="X5" s="10" t="n">
        <v>57.39908834620725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4:C7"/>
  <sheetViews>
    <sheetView workbookViewId="0">
      <selection activeCell="H16" sqref="H16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D6"/>
  <sheetViews>
    <sheetView workbookViewId="0">
      <selection activeCell="R13" sqref="R13"/>
    </sheetView>
  </sheetViews>
  <sheetFormatPr baseColWidth="8" defaultRowHeight="15"/>
  <cols>
    <col width="13.5703125" bestFit="1" customWidth="1" style="16" min="2" max="2"/>
    <col width="16.28515625" bestFit="1" customWidth="1" style="16" min="3" max="3"/>
    <col width="11.28515625" bestFit="1" customWidth="1" style="16" min="4" max="4"/>
    <col width="12" bestFit="1" customWidth="1" style="16" min="5" max="5"/>
    <col width="12.42578125" bestFit="1" customWidth="1" style="16" min="6" max="6"/>
    <col width="13.28515625" bestFit="1" customWidth="1" style="16" min="7" max="7"/>
    <col width="12.42578125" bestFit="1" customWidth="1" style="16" min="8" max="9"/>
  </cols>
  <sheetData>
    <row r="1">
      <c r="B1" s="7" t="inlineStr">
        <is>
          <t>zone</t>
        </is>
      </c>
      <c r="C1" t="inlineStr">
        <is>
          <t>(All)</t>
        </is>
      </c>
    </row>
    <row r="3">
      <c r="B3" s="7" t="inlineStr">
        <is>
          <t xml:space="preserve">Sum of p_mw </t>
        </is>
      </c>
      <c r="C3" s="7" t="inlineStr">
        <is>
          <t>Column Labels</t>
        </is>
      </c>
    </row>
    <row r="4">
      <c r="B4" s="7" t="inlineStr">
        <is>
          <t>Row Labels</t>
        </is>
      </c>
      <c r="C4" t="inlineStr">
        <is>
          <t>(blank)</t>
        </is>
      </c>
      <c r="D4" t="inlineStr">
        <is>
          <t>Grand Total</t>
        </is>
      </c>
    </row>
    <row r="5">
      <c r="B5" s="8" t="inlineStr">
        <is>
          <t>(blank)</t>
        </is>
      </c>
    </row>
    <row r="6">
      <c r="B6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1:C6"/>
  <sheetViews>
    <sheetView workbookViewId="0">
      <selection activeCell="B13" sqref="B13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1.28515625" bestFit="1" customWidth="1" style="16" min="3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1">
      <c r="A1" s="7" t="inlineStr">
        <is>
          <t>zone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A4" s="7" t="inlineStr">
        <is>
          <t>Row Labels</t>
        </is>
      </c>
      <c r="B4" t="inlineStr">
        <is>
          <t>(blank)</t>
        </is>
      </c>
      <c r="C4" t="inlineStr">
        <is>
          <t>Grand Total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6"/>
  <sheetViews>
    <sheetView workbookViewId="0">
      <selection activeCell="A2" sqref="A2"/>
    </sheetView>
  </sheetViews>
  <sheetFormatPr baseColWidth="8" defaultRowHeight="15"/>
  <cols>
    <col width="13.140625" bestFit="1" customWidth="1" style="16" min="1" max="1"/>
    <col width="13.7109375" bestFit="1" customWidth="1" style="16" min="2" max="2"/>
    <col width="12" bestFit="1" customWidth="1" style="16" min="3" max="3"/>
  </cols>
  <sheetData>
    <row r="1">
      <c r="A1" s="7" t="inlineStr">
        <is>
          <t>zone</t>
        </is>
      </c>
      <c r="B1" t="inlineStr">
        <is>
          <t>(All)</t>
        </is>
      </c>
    </row>
    <row r="2">
      <c r="A2" s="7" t="inlineStr">
        <is>
          <t>step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Sum of vm_pu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2:D6"/>
  <sheetViews>
    <sheetView workbookViewId="0">
      <selection activeCell="G19" sqref="G19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5.7109375" bestFit="1" customWidth="1" style="16" min="5" max="5"/>
    <col width="29.140625" bestFit="1" customWidth="1" style="16" min="6" max="6"/>
    <col width="26.42578125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5:C8"/>
  <sheetViews>
    <sheetView workbookViewId="0">
      <selection activeCell="B17" sqref="B1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2:D6"/>
  <sheetViews>
    <sheetView workbookViewId="0">
      <selection activeCell="F17" sqref="F1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6.140625" bestFit="1" customWidth="1" style="16" min="5" max="5"/>
    <col width="25.7109375" bestFit="1" customWidth="1" style="16" min="6" max="6"/>
    <col width="29.28515625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2">
      <c r="A2" s="7" t="inlineStr">
        <is>
          <t>zone</t>
        </is>
      </c>
      <c r="B2" t="inlineStr">
        <is>
          <t>(blank)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4:B6"/>
  <sheetViews>
    <sheetView workbookViewId="0">
      <selection activeCell="A12" sqref="A6:A25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2" bestFit="1" customWidth="1" style="16" min="3" max="3"/>
    <col width="25.7109375" bestFit="1" customWidth="1" style="16" min="4" max="4"/>
  </cols>
  <sheetData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Grand Total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2023-01-12T11:22:28Z</dcterms:modified>
  <cp:lastModifiedBy>Martin Oviedo</cp:lastModifiedBy>
</cp:coreProperties>
</file>