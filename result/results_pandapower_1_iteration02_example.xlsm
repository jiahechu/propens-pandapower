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1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3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4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5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799" firstSheet="0" activeTab="6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emand01" sheetId="8" state="hidden" r:id="rId8"/>
    <sheet xmlns:r="http://schemas.openxmlformats.org/officeDocument/2006/relationships" name="Gen01" sheetId="9" state="hidden" r:id="rId9"/>
    <sheet xmlns:r="http://schemas.openxmlformats.org/officeDocument/2006/relationships" name="Gen02" sheetId="10" state="hidden" r:id="rId10"/>
    <sheet xmlns:r="http://schemas.openxmlformats.org/officeDocument/2006/relationships" name="bus01" sheetId="11" state="hidden" r:id="rId11"/>
    <sheet xmlns:r="http://schemas.openxmlformats.org/officeDocument/2006/relationships" name="Lines01" sheetId="12" state="hidden" r:id="rId12"/>
    <sheet xmlns:r="http://schemas.openxmlformats.org/officeDocument/2006/relationships" name="Lines02" sheetId="13" state="hidden" r:id="rId13"/>
    <sheet xmlns:r="http://schemas.openxmlformats.org/officeDocument/2006/relationships" name="Trafos01" sheetId="14" state="hidden" r:id="rId14"/>
    <sheet xmlns:r="http://schemas.openxmlformats.org/officeDocument/2006/relationships" name="Trafos02" sheetId="15" state="hidden" r:id="rId15"/>
  </sheets>
  <definedNames/>
  <calcPr calcId="191029" fullCalcOnLoad="1"/>
  <pivotCaches>
    <pivotCache xmlns:r="http://schemas.openxmlformats.org/officeDocument/2006/relationships" cacheId="3" r:id="rId16"/>
    <pivotCache xmlns:r="http://schemas.openxmlformats.org/officeDocument/2006/relationships" cacheId="0" r:id="rId17"/>
    <pivotCache xmlns:r="http://schemas.openxmlformats.org/officeDocument/2006/relationships" cacheId="2" r:id="rId18"/>
    <pivotCache xmlns:r="http://schemas.openxmlformats.org/officeDocument/2006/relationships" cacheId="4" r:id="rId19"/>
    <pivotCache xmlns:r="http://schemas.openxmlformats.org/officeDocument/2006/relationships" cacheId="1" r:id="rId20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9">
    <xf numFmtId="0" fontId="0" fillId="0" borderId="0" pivotButton="0" quotePrefix="0" xfId="0"/>
    <xf numFmtId="0" fontId="0" fillId="0" borderId="0" applyAlignment="1" pivotButton="0" quotePrefix="0" xfId="0">
      <alignment horizontal="center" vertical="top" wrapText="1"/>
    </xf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0" fillId="0" borderId="0" applyAlignment="1" pivotButton="0" quotePrefix="0" xfId="0">
      <alignment horizontal="left" indent="1"/>
    </xf>
    <xf numFmtId="0" fontId="0" fillId="0" borderId="0" applyAlignment="1" pivotButton="0" quotePrefix="0" xfId="0">
      <alignment horizontal="left" indent="2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2" fillId="2" borderId="0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0" fillId="3" borderId="2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</cellXfs>
  <cellStyles count="1">
    <cellStyle name="Normal" xfId="0" builtinId="0"/>
  </cellStyles>
  <dxfs count="42">
    <dxf>
      <alignment horizontal="center" vertical="top"/>
    </dxf>
    <dxf>
      <alignment horizontal="center" vertical="top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pivotCacheDefinition" Target="/xl/pivotCache/pivotCacheDefinition1.xml" Id="rId16"/><Relationship Type="http://schemas.openxmlformats.org/officeDocument/2006/relationships/pivotCacheDefinition" Target="/xl/pivotCache/pivotCacheDefinition2.xml" Id="rId17"/><Relationship Type="http://schemas.openxmlformats.org/officeDocument/2006/relationships/pivotCacheDefinition" Target="/xl/pivotCache/pivotCacheDefinition3.xml" Id="rId18"/><Relationship Type="http://schemas.openxmlformats.org/officeDocument/2006/relationships/pivotCacheDefinition" Target="/xl/pivotCache/pivotCacheDefinition4.xml" Id="rId19"/><Relationship Type="http://schemas.openxmlformats.org/officeDocument/2006/relationships/pivotCacheDefinition" Target="/xl/pivotCache/pivotCacheDefinition5.xml" Id="rId20"/><Relationship Type="http://schemas.openxmlformats.org/officeDocument/2006/relationships/styles" Target="styles.xml" Id="rId21"/><Relationship Type="http://schemas.openxmlformats.org/officeDocument/2006/relationships/theme" Target="theme/theme1.xml" Id="rId22"/><Relationship Type="http://schemas.microsoft.com/office/2006/relationships/vbaProject" Target="vbaProject.bin" Id="rId23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Lines01!$B$5:$B$16</f>
              <numCache>
                <formatCode>General</formatCode>
                <ptCount val="11"/>
                <pt idx="0">
                  <v>100.1731638810112</v>
                </pt>
                <pt idx="1">
                  <v>110.1904802691123</v>
                </pt>
                <pt idx="2">
                  <v>121.2095282960236</v>
                </pt>
                <pt idx="3">
                  <v>133.330481125626</v>
                </pt>
                <pt idx="4">
                  <v>146.6635292381886</v>
                </pt>
                <pt idx="5">
                  <v>161.3298821620074</v>
                </pt>
                <pt idx="6">
                  <v>177.4628703782082</v>
                </pt>
                <pt idx="7">
                  <v>195.2091574160291</v>
                </pt>
                <pt idx="8">
                  <v>214.730073157632</v>
                </pt>
                <pt idx="9">
                  <v>236.2030804733952</v>
                </pt>
                <pt idx="10">
                  <v>259.8233885207347</v>
                </pt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Average of Loading Percent [%]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Lines01!$C$5:$C$16</f>
              <numCache>
                <formatCode>General</formatCode>
                <ptCount val="11"/>
                <pt idx="0">
                  <v>27.14337412240021</v>
                </pt>
                <pt idx="1">
                  <v>29.85771153464023</v>
                </pt>
                <pt idx="2">
                  <v>32.84348268810426</v>
                </pt>
                <pt idx="3">
                  <v>36.12783095691469</v>
                </pt>
                <pt idx="4">
                  <v>39.74061405260616</v>
                </pt>
                <pt idx="5">
                  <v>43.71467545786678</v>
                </pt>
                <pt idx="6">
                  <v>48.08614300365347</v>
                </pt>
                <pt idx="7">
                  <v>52.89475730401882</v>
                </pt>
                <pt idx="8">
                  <v>58.18423303442071</v>
                </pt>
                <pt idx="9">
                  <v>64.00265633786279</v>
                </pt>
                <pt idx="10">
                  <v>70.40292197164906</v>
                </pt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Min of Loading Percent [%]2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Lines01!$D$5:$D$16</f>
              <numCache>
                <formatCode>General</formatCode>
                <ptCount val="11"/>
                <pt idx="0">
                  <v>7.234050190158276e-05</v>
                </pt>
                <pt idx="1">
                  <v>7.957455209174104e-05</v>
                </pt>
                <pt idx="2">
                  <v>8.753200730091515e-05</v>
                </pt>
                <pt idx="3">
                  <v>9.628520803100668e-05</v>
                </pt>
                <pt idx="4">
                  <v>0.0001059137288341074</v>
                </pt>
                <pt idx="5">
                  <v>0.0001165051017175181</v>
                </pt>
                <pt idx="6">
                  <v>0.0001281556118892699</v>
                </pt>
                <pt idx="7">
                  <v>0.0001409711730781969</v>
                </pt>
                <pt idx="8">
                  <v>0.0001550682903860166</v>
                </pt>
                <pt idx="9">
                  <v>0.0001705751194246183</v>
                </pt>
                <pt idx="10">
                  <v>0.0001876326313670801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Lines02!$B$5:$B$16</f>
              <numCache>
                <formatCode>General</formatCode>
                <ptCount val="11"/>
                <pt idx="0">
                  <v>5.027180043283985</v>
                </pt>
                <pt idx="1">
                  <v>5.529898047612384</v>
                </pt>
                <pt idx="2">
                  <v>6.082887852373622</v>
                </pt>
                <pt idx="3">
                  <v>6.691176637610985</v>
                </pt>
                <pt idx="4">
                  <v>7.360294301372084</v>
                </pt>
                <pt idx="5">
                  <v>8.096323731509294</v>
                </pt>
                <pt idx="6">
                  <v>8.905956104660223</v>
                </pt>
                <pt idx="7">
                  <v>9.796551715126247</v>
                </pt>
                <pt idx="8">
                  <v>10.77620688663887</v>
                </pt>
                <pt idx="9">
                  <v>11.85382757530276</v>
                </pt>
                <pt idx="10">
                  <v>13.03921033283304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 w="25400">
              <a:noFill/>
              <a:prstDash val="solid"/>
            </a:ln>
          </spPr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[output_template.xlsm]Trafos01!PivotTable1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Trafos01!$B$4:$B$6</f>
              <strCache>
                <ptCount val="1"/>
                <pt idx="0">
                  <v>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Trafos01!$A$7:$A$18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Trafos01!$B$7:$B$18</f>
              <numCache>
                <formatCode>General</formatCode>
                <ptCount val="11"/>
                <pt idx="0">
                  <v>0.004240566305308572</v>
                </pt>
                <pt idx="1">
                  <v>0.00706761050884762</v>
                </pt>
                <pt idx="2">
                  <v>0.00706761050884762</v>
                </pt>
                <pt idx="3">
                  <v>0.008481132610617144</v>
                </pt>
                <pt idx="4">
                  <v>0.01017735913274057</v>
                </pt>
                <pt idx="5">
                  <v>0.01221283095928868</v>
                </pt>
                <pt idx="6">
                  <v>0.01465539715114642</v>
                </pt>
                <pt idx="7">
                  <v>0.0175864765813757</v>
                </pt>
                <pt idx="8">
                  <v>0.02110377189765084</v>
                </pt>
                <pt idx="9">
                  <v>0.02532452627718101</v>
                </pt>
                <pt idx="10">
                  <v>0.03038943153261721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[output_template.xlsm]Trafos02!PivotTable2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Trafos02!$B$4:$B$7</f>
              <strCache>
                <ptCount val="1"/>
                <pt idx="0">
                  <v>Max of Loading Percent [%]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Trafos02!$B$8:$B$19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56.4256383280732</v>
                </pt>
                <pt idx="4">
                  <v>61.4256383280732</v>
                </pt>
                <pt idx="5">
                  <v>66.42563832807321</v>
                </pt>
                <pt idx="6">
                  <v>71.42563832807321</v>
                </pt>
                <pt idx="7">
                  <v>76.42563832807321</v>
                </pt>
                <pt idx="8">
                  <v>81.42563832807321</v>
                </pt>
                <pt idx="9">
                  <v>86.42563832807321</v>
                </pt>
                <pt idx="10">
                  <v>91.42563832807321</v>
                </pt>
              </numCache>
            </numRef>
          </val>
          <smooth val="0"/>
        </ser>
        <ser>
          <idx val="1"/>
          <order val="1"/>
          <tx>
            <strRef>
              <f>Trafos02!$D$4:$D$7</f>
              <strCache>
                <ptCount val="1"/>
                <pt idx="0">
                  <v>Average of Loading Percent [%]2 - 10 - 0.4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Trafos02!$D$8:$D$19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54.42563832807321</v>
                </pt>
                <pt idx="4">
                  <v>59.42563832807319</v>
                </pt>
                <pt idx="5">
                  <v>64.42563832807321</v>
                </pt>
                <pt idx="6">
                  <v>69.42563832807321</v>
                </pt>
                <pt idx="7">
                  <v>74.42563832807321</v>
                </pt>
                <pt idx="8">
                  <v>79.42563832807321</v>
                </pt>
                <pt idx="9">
                  <v>84.42563832807321</v>
                </pt>
                <pt idx="10">
                  <v>89.42563832807321</v>
                </pt>
              </numCache>
            </numRef>
          </val>
          <smooth val="0"/>
        </ser>
        <ser>
          <idx val="2"/>
          <order val="2"/>
          <tx>
            <strRef>
              <f>Trafos02!$F$4:$F$7</f>
              <strCache>
                <ptCount val="1"/>
                <pt idx="0">
                  <v>Min of Loading Percent [%]3 - 10 - 0.4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Trafos02!$A$8:$A$19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Trafos02!$F$8:$F$19</f>
              <numCache>
                <formatCode>General</formatCode>
                <ptCount val="11"/>
                <pt idx="0">
                  <v>52.42563832807324</v>
                </pt>
                <pt idx="1">
                  <v>52.42563832807324</v>
                </pt>
                <pt idx="2">
                  <v>52.42563832807324</v>
                </pt>
                <pt idx="3">
                  <v>52.42563832807324</v>
                </pt>
                <pt idx="4">
                  <v>57.4256383280732</v>
                </pt>
                <pt idx="5">
                  <v>62.4256383280732</v>
                </pt>
                <pt idx="6">
                  <v>67.42563832807321</v>
                </pt>
                <pt idx="7">
                  <v>72.42563832807321</v>
                </pt>
                <pt idx="8">
                  <v>77.42563832807321</v>
                </pt>
                <pt idx="9">
                  <v>82.42563832807321</v>
                </pt>
                <pt idx="10">
                  <v>87.42563832807321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'Gen01'!$C$3:$C$5</f>
              <strCache>
                <ptCount val="1"/>
                <pt idx="0">
                  <v>Coal - Steam Turbine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'Gen01'!$C$6:$C$17</f>
              <numCache>
                <formatCode>General</formatCode>
                <ptCount val="11"/>
                <pt idx="0">
                  <v>40</v>
                </pt>
                <pt idx="1">
                  <v>44</v>
                </pt>
                <pt idx="2">
                  <v>48.40000000000001</v>
                </pt>
                <pt idx="3">
                  <v>53.24000000000001</v>
                </pt>
                <pt idx="4">
                  <v>58.56400000000001</v>
                </pt>
                <pt idx="5">
                  <v>64.42040000000001</v>
                </pt>
                <pt idx="6">
                  <v>70.86244000000002</v>
                </pt>
                <pt idx="7">
                  <v>77.94868400000003</v>
                </pt>
                <pt idx="8">
                  <v>85.74355240000004</v>
                </pt>
                <pt idx="9">
                  <v>94.31790764000006</v>
                </pt>
                <pt idx="10">
                  <v>103.7496984040001</v>
                </pt>
              </numCache>
            </numRef>
          </val>
        </ser>
        <ser>
          <idx val="1"/>
          <order val="1"/>
          <tx>
            <strRef>
              <f>'Gen01'!$E$3:$E$5</f>
              <strCache>
                <ptCount val="1"/>
                <pt idx="0">
                  <v>NG - Gas Turbine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'Gen01'!$E$6:$E$17</f>
              <numCache>
                <formatCode>General</formatCode>
                <ptCount val="11"/>
                <pt idx="0">
                  <v>323.49</v>
                </pt>
                <pt idx="1">
                  <v>355.8390000000001</v>
                </pt>
                <pt idx="2">
                  <v>391.4229000000001</v>
                </pt>
                <pt idx="3">
                  <v>430.5651900000001</v>
                </pt>
                <pt idx="4">
                  <v>473.6217090000002</v>
                </pt>
                <pt idx="5">
                  <v>520.9838799000003</v>
                </pt>
                <pt idx="6">
                  <v>573.0822678900004</v>
                </pt>
                <pt idx="7">
                  <v>630.3904946790004</v>
                </pt>
                <pt idx="8">
                  <v>693.4295441469005</v>
                </pt>
                <pt idx="9">
                  <v>762.7724985615906</v>
                </pt>
                <pt idx="10">
                  <v>839.0497484177497</v>
                </pt>
              </numCache>
            </numRef>
          </val>
        </ser>
        <ser>
          <idx val="2"/>
          <order val="2"/>
          <tx>
            <strRef>
              <f>'Gen01'!$G$3:$G$5</f>
              <strCache>
                <ptCount val="1"/>
                <pt idx="0">
                  <v>Wind - Wind Turbine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'Gen01'!$B$6:$B$17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'Gen01'!$G$6:$G$17</f>
              <numCache>
                <formatCode>General</formatCode>
                <ptCount val="11"/>
                <pt idx="0">
                  <v>466.51</v>
                </pt>
                <pt idx="1">
                  <v>513.1610000000001</v>
                </pt>
                <pt idx="2">
                  <v>564.4771000000001</v>
                </pt>
                <pt idx="3">
                  <v>620.9248100000001</v>
                </pt>
                <pt idx="4">
                  <v>683.0172910000001</v>
                </pt>
                <pt idx="5">
                  <v>751.3190201000002</v>
                </pt>
                <pt idx="6">
                  <v>826.4509221100003</v>
                </pt>
                <pt idx="7">
                  <v>909.0960143210004</v>
                </pt>
                <pt idx="8">
                  <v>1000.005615753101</v>
                </pt>
                <pt idx="9">
                  <v>1100.006177328411</v>
                </pt>
                <pt idx="10">
                  <v>1210.006795061252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</f>
              <strCache>
                <ptCount val="1"/>
                <pt idx="0">
                  <v>Total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'bus01'!$A$5:$A$10</f>
              <strCache>
                <ptCount val="5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</strCache>
            </strRef>
          </cat>
          <val>
            <numRef>
              <f>'bus01'!$B$5:$B$10</f>
              <numCache>
                <formatCode>General</formatCode>
                <ptCount val="5"/>
                <pt idx="0">
                  <v>0.9999999999999999</v>
                </pt>
                <pt idx="1">
                  <v>0.9892612371179855</v>
                </pt>
                <pt idx="2">
                  <v>1</v>
                </pt>
                <pt idx="3">
                  <v>1</v>
                </pt>
                <pt idx="4">
                  <v>0.9999999999999999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Demand01!$B$4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Demand01!$A$5:$A$16</f>
              <strCache>
                <ptCount val="11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</strCache>
            </strRef>
          </cat>
          <val>
            <numRef>
              <f>Demand01!$B$5:$B$16</f>
              <numCache>
                <formatCode>General</formatCode>
                <ptCount val="11"/>
                <pt idx="0">
                  <v>1000</v>
                </pt>
                <pt idx="1">
                  <v>1100</v>
                </pt>
                <pt idx="2">
                  <v>1210</v>
                </pt>
                <pt idx="3">
                  <v>1331</v>
                </pt>
                <pt idx="4">
                  <v>1464.100000000001</v>
                </pt>
                <pt idx="5">
                  <v>1610.510000000001</v>
                </pt>
                <pt idx="6">
                  <v>1771.561000000001</v>
                </pt>
                <pt idx="7">
                  <v>1948.717100000001</v>
                </pt>
                <pt idx="8">
                  <v>2143.588810000002</v>
                </pt>
                <pt idx="9">
                  <v>2357.947691000002</v>
                </pt>
                <pt idx="10">
                  <v>2593.742460100002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451801135"/>
        <axId val="451794063"/>
      </line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image" Target="/xl/media/image1.png" Id="rId9"/></Relationships>
</file>

<file path=xl/drawings/drawing1.xml><?xml version="1.0" encoding="utf-8"?>
<wsDr xmlns="http://schemas.openxmlformats.org/drawingml/2006/spreadsheetDrawing">
  <twoCellAnchor>
    <from>
      <col>8</col>
      <colOff>188670</colOff>
      <row>42</row>
      <rowOff>128954</rowOff>
    </from>
    <to>
      <col>16</col>
      <colOff>48708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128954</rowOff>
    </from>
    <to>
      <col>23</col>
      <colOff>441010</colOff>
      <row>54</row>
      <rowOff>172241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8</col>
      <colOff>124810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77475</rowOff>
    </from>
    <to>
      <col>23</col>
      <colOff>440541</colOff>
      <row>68</row>
      <rowOff>68515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194231</colOff>
      <row>55</row>
      <rowOff>69303</rowOff>
    </from>
    <to>
      <col>16</col>
      <colOff>44968</colOff>
      <row>68</row>
      <rowOff>60343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8</col>
      <colOff>126145</colOff>
      <row>23</row>
      <rowOff>57978</rowOff>
    </from>
    <to>
      <col>23</col>
      <colOff>433754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8</col>
      <colOff>197999</colOff>
      <row>69</row>
      <rowOff>6180</rowOff>
    </from>
    <to>
      <col>23</col>
      <colOff>431046</colOff>
      <row>84</row>
      <rowOff>68869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8</col>
      <colOff>211592</colOff>
      <row>85</row>
      <rowOff>44556</rowOff>
    </from>
    <to>
      <col>23</col>
      <colOff>465015</colOff>
      <row>100</row>
      <rowOff>98776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 editAs="oneCell">
    <from>
      <col>1</col>
      <colOff>3062</colOff>
      <row>1</row>
      <rowOff>152400</rowOff>
    </from>
    <to>
      <col>1</col>
      <colOff>796289</colOff>
      <row>5</row>
      <rowOff>175260</rowOff>
    </to>
    <pic>
      <nvPicPr>
        <cNvPr id="19" name="Picture 1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09742" y="236220"/>
          <a:ext cx="793227" cy="78486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894.74730775463" createdVersion="8" refreshedVersion="8" minRefreshableVersion="3" recordCount="33" r:id="rId1">
  <cacheSource type="worksheet">
    <worksheetSource name="demand_table"/>
  </cacheSource>
  <cacheFields count="8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oad Index" uniqueList="1" numFmtId="0" sqlType="0" hierarchy="0" level="0" databaseField="1">
      <sharedItems count="0" containsInteger="1" containsNumber="1" containsSemiMixedTypes="0" containsString="0" minValue="0" maxValue="2"/>
    </cacheField>
    <cacheField name="Bus Index" uniqueList="1" numFmtId="0" sqlType="0" hierarchy="0" level="0" databaseField="1">
      <sharedItems count="0" containsInteger="1" containsNumber="1" containsSemiMixedTypes="0" containsString="0" minValue="1" maxValue="3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Active Power [MW]" uniqueList="1" numFmtId="0" sqlType="0" hierarchy="0" level="0" databaseField="1">
      <sharedItems count="0" containsNumber="1" containsSemiMixedTypes="0" containsString="0" minValue="300" maxValue="1037.496984040001"/>
    </cacheField>
    <cacheField name="Reactive Power [MVAr]" uniqueList="1" numFmtId="0" sqlType="0" hierarchy="0" level="0" databaseField="1">
      <sharedItems count="0" containsNumber="1" containsSemiMixedTypes="0" containsString="0" minValue="98.61" maxValue="340.9993212293472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887.793053125" createdVersion="8" refreshedVersion="8" minRefreshableVersion="3" recordCount="33" r:id="rId1">
  <cacheSource type="worksheet">
    <worksheetSource name="generation_table"/>
  </cacheSource>
  <cacheFields count="16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Bus Index" uniqueList="1" numFmtId="0" sqlType="0" hierarchy="0" level="0" databaseField="1">
      <sharedItems count="0" containsInteger="1" containsNumber="1" containsSemiMixedTypes="0" containsString="0" minValue="0" maxValue="4"/>
    </cacheField>
    <cacheField name="Generator Index" uniqueList="1" numFmtId="0" sqlType="0" hierarchy="0" level="0" databaseField="1">
      <sharedItems count="0" containsInteger="1" containsNumber="1" containsSemiMixedTypes="0" containsString="0" minValue="0" maxValue="2"/>
    </cacheField>
    <cacheField name="Fuel" uniqueList="1" numFmtId="0" sqlType="0" hierarchy="0" level="0" databaseField="1">
      <sharedItems count="3">
        <s v="Coal"/>
        <s v="NG"/>
        <s v="Wind"/>
      </sharedItems>
    </cacheField>
    <cacheField name="Technology" uniqueList="1" numFmtId="0" sqlType="0" hierarchy="0" level="0" databaseField="1">
      <sharedItems count="3">
        <s v="Steam Turbine"/>
        <s v="Gas Turbine"/>
        <s v="Wind Turbine"/>
      </sharedItems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230"/>
        <n v="110"/>
      </sharedItems>
    </cacheField>
    <cacheField name="Name" uniqueList="1" numFmtId="0" sqlType="0" hierarchy="0" level="0" databaseField="1">
      <sharedItems count="0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Integer="1" containsNumber="1" containsSemiMixedTypes="0" containsString="0" minValue="1" maxValue="1"/>
    </cacheField>
    <cacheField name="Maximum Active Power [MW]" uniqueList="1" numFmtId="0" sqlType="0" hierarchy="0" level="0" databaseField="1">
      <sharedItems count="0" containsNumber="1" containsSemiMixedTypes="0" containsString="0" minValue="40" maxValue="966.3060000000004"/>
    </cacheField>
    <cacheField name="Maximum Reactive Power [MVAr]" uniqueList="1" numFmtId="0" sqlType="0" hierarchy="0" level="0" databaseField="1">
      <sharedItems count="0" containsNumber="1" containsSemiMixedTypes="0" containsString="0" minValue="30" maxValue="724.7295000000004"/>
    </cacheField>
    <cacheField name="Minimum Active Power [MW]" uniqueList="1" numFmtId="0" sqlType="0" hierarchy="0" level="0" databaseField="1">
      <sharedItems count="0" containsInteger="1" containsNumber="1" containsSemiMixedTypes="0" containsString="0" minValue="0" maxValue="0"/>
    </cacheField>
    <cacheField name="Minimum Reactive Power [MVAr]" uniqueList="1" numFmtId="0" sqlType="0" hierarchy="0" level="0" databaseField="1">
      <sharedItems count="0" containsNumber="1" containsSemiMixedTypes="0" containsString="0" minValue="-724.7295000000004" maxValue="-30"/>
    </cacheField>
    <cacheField name=" Active Power [MW]" uniqueList="1" numFmtId="0" sqlType="0" hierarchy="0" level="0" databaseField="1">
      <sharedItems count="0" containsNumber="1" containsSemiMixedTypes="0" containsString="0" minValue="40" maxValue="1210.006795061252"/>
    </cacheField>
    <cacheField name=" Reactive Power [MVAr]" uniqueList="1" numFmtId="0" sqlType="0" hierarchy="0" level="0" databaseField="1">
      <sharedItems count="0" containsNumber="1" containsSemiMixedTypes="0" containsString="0" minValue="-61.53698065348156" maxValue="313.493373417145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894.74029178241" createdVersion="8" refreshedVersion="8" minRefreshableVersion="3" recordCount="10" r:id="rId1">
  <cacheSource type="worksheet">
    <worksheetSource name="bus_table"/>
  </cacheSource>
  <cacheFields count="10">
    <cacheField name="Step" uniqueList="1" numFmtId="0" sqlType="0" hierarchy="0" level="0" databaseField="1">
      <sharedItems count="2" containsInteger="1" containsNumber="1" containsSemiMixedTypes="0" containsString="0" minValue="0" maxValue="1">
        <n v="0"/>
        <n v="1"/>
      </sharedItems>
    </cacheField>
    <cacheField name="Bus Index" uniqueList="1" numFmtId="0" sqlType="0" hierarchy="0" level="0" databaseField="1">
      <sharedItems count="5" containsInteger="1" containsNumber="1" containsSemiMixedTypes="0" containsString="0" minValue="0" maxValue="4">
        <n v="0"/>
        <n v="1"/>
        <n v="2"/>
        <n v="3"/>
        <n v="4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Name" uniqueList="1" numFmtId="0" sqlType="0" hierarchy="0" level="0" databaseField="1">
      <sharedItems count="0" containsInteger="1" containsNumber="1" containsSemiMixedTypes="0" containsString="0" minValue="0" maxValue="4"/>
    </cacheField>
    <cacheField name="Voltage Level [kV]" uniqueList="1" numFmtId="0" sqlType="0" hierarchy="0" level="0" databaseField="1">
      <sharedItems count="1" containsInteger="1" containsNumber="1" containsSemiMixedTypes="0" containsString="0" minValue="230" maxValue="230">
        <n v="230"/>
      </sharedItems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Voltage [p.u]" uniqueList="1" numFmtId="0" sqlType="0" hierarchy="0" level="0" databaseField="1">
      <sharedItems count="0" containsNumber="1" containsSemiMixedTypes="0" containsString="0" minValue="0.9892612371179855" maxValue="1"/>
    </cacheField>
    <cacheField name="Voltage Phase [degree]" uniqueList="1" numFmtId="0" sqlType="0" hierarchy="0" level="0" databaseField="1">
      <sharedItems count="0" containsNumber="1" containsSemiMixedTypes="0" containsString="0" minValue="-0.7592692851644819" maxValue="4.112031000646839"/>
    </cacheField>
    <cacheField name="Active Power [MW]" uniqueList="1" numFmtId="0" sqlType="0" hierarchy="0" level="0" databaseField="1">
      <sharedItems count="0" containsNumber="1" containsSemiMixedTypes="0" containsString="0" minValue="-466.51" maxValue="394.972819956716"/>
    </cacheField>
    <cacheField name="Reactive Power [MVAr]" uniqueList="1" numFmtId="0" sqlType="0" hierarchy="0" level="0" databaseField="1">
      <sharedItems count="0" containsNumber="1" containsSemiMixedTypes="0" containsString="0" minValue="-96.04472019245181" maxValue="98.61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895.50010567129" createdVersion="8" refreshedVersion="8" minRefreshableVersion="3" recordCount="66" r:id="rId1">
  <cacheSource type="worksheet">
    <worksheetSource name="lines_table"/>
  </cacheSource>
  <cacheFields count="20">
    <cacheField name="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 containsInteger="1" containsNumber="1" containsSemiMixedTypes="0" containsString="0" minValue="1" maxValue="1">
        <n v="1"/>
      </sharedItems>
    </cacheField>
    <cacheField name="Line Index" uniqueList="1" numFmtId="0" sqlType="0" hierarchy="0" level="0" databaseField="1">
      <sharedItems count="0" containsInteger="1" containsNumber="1" containsSemiMixedTypes="0" containsString="0" minValue="0" maxValue="5"/>
    </cacheField>
    <cacheField name="Voltage Level [kV]" uniqueList="1" numFmtId="0" sqlType="0" hierarchy="0" level="0" databaseField="1">
      <sharedItems count="2" containsInteger="1" containsNumber="1" containsSemiMixedTypes="0" containsString="0" minValue="110" maxValue="230">
        <n v="110"/>
        <n v="230"/>
      </sharedItems>
    </cacheField>
    <cacheField name="Name" uniqueList="1" numFmtId="0" sqlType="0" hierarchy="0" level="0" databaseField="1">
      <sharedItems count="0"/>
    </cacheField>
    <cacheField name="From bus" uniqueList="1" numFmtId="0" sqlType="0" hierarchy="0" level="0" databaseField="1">
      <sharedItems count="0" containsInteger="1" containsNumber="1" containsSemiMixedTypes="0" containsString="0" minValue="0" maxValue="3"/>
    </cacheField>
    <cacheField name="To Bus" uniqueList="1" numFmtId="0" sqlType="0" hierarchy="0" level="0" databaseField="1">
      <sharedItems count="0" containsInteger="1" containsNumber="1" containsSemiMixedTypes="0" containsString="0" minValue="1" maxValue="4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Length [km]" uniqueList="1" numFmtId="0" sqlType="0" hierarchy="0" level="0" databaseField="1">
      <sharedItems count="0" containsInteger="1" containsNumber="1" containsSemiMixedTypes="0" containsString="0" minValue="1" maxValue="1"/>
    </cacheField>
    <cacheField name="Maximum Current [kA]" uniqueList="1" numFmtId="0" sqlType="0" hierarchy="0" level="0" databaseField="1">
      <sharedItems count="0" containsNumber="1" containsSemiMixedTypes="0" containsString="0" minValue="0.6024524548065699" maxValue="99999"/>
    </cacheField>
    <cacheField name="Maximum Loading [%]" uniqueList="1" numFmtId="0" sqlType="0" hierarchy="0" level="0" databaseField="1">
      <sharedItems count="0" containsInteger="1" containsNumber="1" containsSemiMixedTypes="0" containsString="0" minValue="100" maxValue="100"/>
    </cacheField>
    <cacheField name="Number of Line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Std. Type" uniqueList="1" numFmtId="0" sqlType="0" hierarchy="0" level="0" databaseField="1">
      <sharedItems count="0"/>
    </cacheField>
    <cacheField name="From Bus Act. Power [MW]" uniqueList="1" numFmtId="0" sqlType="0" hierarchy="0" level="0" databaseField="1">
      <sharedItems count="0" containsNumber="1" containsSemiMixedTypes="0" containsString="0" minValue="-4010.26924206584" maxValue="249.7733725409011"/>
    </cacheField>
    <cacheField name="From Bus Raact. Power [MVAr]" uniqueList="1" numFmtId="0" sqlType="0" hierarchy="0" level="0" databaseField="1">
      <sharedItems count="0" containsNumber="1" containsSemiMixedTypes="0" containsString="0" minValue="-93.97263244914096" maxValue="563.135932269363"/>
    </cacheField>
    <cacheField name="To Bus Act. Power [MW]" uniqueList="1" numFmtId="0" sqlType="0" hierarchy="0" level="0" databaseField="1">
      <sharedItems count="0" containsNumber="1" containsSemiMixedTypes="0" containsString="0" minValue="-248.006760277201" maxValue="4042.43676841491"/>
    </cacheField>
    <cacheField name="To Bus Raact. Power [MVAr]" uniqueList="1" numFmtId="0" sqlType="0" hierarchy="0" level="0" databaseField="1">
      <sharedItems count="0" containsNumber="1" containsSemiMixedTypes="0" containsString="0" minValue="-242.134668778687" maxValue="93.39458845673786"/>
    </cacheField>
    <cacheField name="Losses [MW]" uniqueList="1" numFmtId="0" sqlType="0" hierarchy="0" level="0" databaseField="1">
      <sharedItems count="0" containsNumber="1" containsSemiMixedTypes="0" containsString="0" minValue="0.02460713215354815" maxValue="4.582137238892323"/>
    </cacheField>
    <cacheField name="Losses [MVAr]" uniqueList="1" numFmtId="0" sqlType="0" hierarchy="0" level="0" databaseField="1">
      <sharedItems count="0" containsNumber="1" containsSemiMixedTypes="0" containsString="0" minValue="-0.5780439924030958" maxValue="321.001263490677"/>
    </cacheField>
    <cacheField name="Loading Percent [%]" uniqueList="1" numFmtId="0" sqlType="0" hierarchy="0" level="0" databaseField="1">
      <sharedItems count="0" containsNumber="1" containsSemiMixedTypes="0" containsString="0" minValue="7.234050190158276e-05" maxValue="259.8233885207347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894.71650787037" createdVersion="8" refreshedVersion="8" minRefreshableVersion="3" recordCount="53" r:id="rId1">
  <cacheSource type="worksheet">
    <worksheetSource name="trafos_table"/>
  </cacheSource>
  <cacheFields count="21">
    <cacheField name="Time Step" uniqueList="1" numFmtId="0" sqlType="0" hierarchy="0" level="0" databaseField="1">
      <sharedItems count="11" containsInteger="1" containsNumber="1" containsSemiMixedTypes="0" containsString="0" minValue="0" maxValue="10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uniqueList="1" numFmtId="0" sqlType="0" hierarchy="0" level="0" databaseField="1">
      <sharedItems count="1">
        <s v="---"/>
      </sharedItems>
    </cacheField>
    <cacheField name="Trafo Index" uniqueList="1" numFmtId="0" sqlType="0" hierarchy="0" level="0" databaseField="1">
      <sharedItems count="0" containsInteger="1" containsNumber="1" containsSemiMixedTypes="0" containsString="0" minValue="0" maxValue="39"/>
    </cacheField>
    <cacheField name="Name" uniqueList="1" numFmtId="0" sqlType="0" hierarchy="0" level="0" databaseField="1">
      <sharedItems count="0"/>
    </cacheField>
    <cacheField name="Std Type" uniqueList="1" numFmtId="0" sqlType="0" hierarchy="0" level="0" databaseField="1">
      <sharedItems count="0"/>
    </cacheField>
    <cacheField name="HV Bus" uniqueList="1" numFmtId="0" sqlType="0" hierarchy="0" level="0" databaseField="1">
      <sharedItems count="0" containsInteger="1" containsNumber="1" containsSemiMixedTypes="0" containsString="0" minValue="0" maxValue="0"/>
    </cacheField>
    <cacheField name="LV Bus" uniqueList="1" numFmtId="0" sqlType="0" hierarchy="0" level="0" databaseField="1">
      <sharedItems count="0" containsInteger="1" containsNumber="1" containsSemiMixedTypes="0" containsString="0" minValue="1" maxValue="1"/>
    </cacheField>
    <cacheField name="High Voltage Side [kV]" uniqueList="1" numFmtId="0" sqlType="0" hierarchy="0" level="0" databaseField="1">
      <sharedItems count="1" containsInteger="1" containsNumber="1" containsSemiMixedTypes="0" containsString="0" minValue="10" maxValue="10">
        <n v="10"/>
      </sharedItems>
    </cacheField>
    <cacheField name="Low Voltage Side [kV] " uniqueList="1" numFmtId="0" sqlType="0" hierarchy="0" level="0" databaseField="1">
      <sharedItems count="1" containsNumber="1" containsSemiMixedTypes="0" containsString="0" minValue="0.4" maxValue="0.4">
        <n v="0.4"/>
      </sharedItems>
    </cacheField>
    <cacheField name="FE Losses [kW]" uniqueList="1" numFmtId="0" sqlType="0" hierarchy="0" level="0" databaseField="1">
      <sharedItems count="0" containsNumber="1" containsSemiMixedTypes="0" containsString="0" minValue="0.6" maxValue="0.6"/>
    </cacheField>
    <cacheField name="Shift Degree" uniqueList="1" numFmtId="0" sqlType="0" hierarchy="0" level="0" databaseField="1">
      <sharedItems count="0" containsInteger="1" containsNumber="1" containsSemiMixedTypes="0" containsString="0" minValue="150" maxValue="150"/>
    </cacheField>
    <cacheField name="Tap Position" uniqueList="1" numFmtId="0" sqlType="0" hierarchy="0" level="0" databaseField="1">
      <sharedItems count="0" containsInteger="1" containsNumber="1" containsSemiMixedTypes="0" containsString="0" minValue="0" maxValue="0"/>
    </cacheField>
    <cacheField name="Number of Trafos in Parallel" uniqueList="1" numFmtId="0" sqlType="0" hierarchy="0" level="0" databaseField="1">
      <sharedItems count="0" containsInteger="1" containsNumber="1" containsSemiMixedTypes="0" containsString="0" minValue="1" maxValue="1"/>
    </cacheField>
    <cacheField name="In Service" uniqueList="1" numFmtId="0" sqlType="0" hierarchy="0" level="0" databaseField="1">
      <sharedItems count="0" containsInteger="1" containsNumber="1" containsSemiMixedTypes="0" containsString="0" minValue="1" maxValue="1"/>
    </cacheField>
    <cacheField name="HV Act. Power [MW]" uniqueList="1" numFmtId="0" sqlType="0" hierarchy="0" level="0" databaseField="1">
      <sharedItems count="0" containsNumber="1" containsSemiMixedTypes="0" containsString="0" minValue="0.1236666454897191" maxValue="0.1236666454897191"/>
    </cacheField>
    <cacheField name="HV React. Power [MVAr]" uniqueList="1" numFmtId="0" sqlType="0" hierarchy="0" level="0" databaseField="1">
      <sharedItems count="0" containsNumber="1" containsSemiMixedTypes="0" containsString="0" minValue="0.04340919264951015" maxValue="0.04340919264951015"/>
    </cacheField>
    <cacheField name="LV Act. Power [MW]" uniqueList="1" numFmtId="0" sqlType="0" hierarchy="0" level="0" databaseField="1">
      <sharedItems count="0" containsNumber="1" containsSemiMixedTypes="0" containsString="0" minValue="-0.1222531233879495" maxValue="-0.1222531233879495"/>
    </cacheField>
    <cacheField name="LV React. Power [MVAr]" uniqueList="1" numFmtId="0" sqlType="0" hierarchy="0" level="0" databaseField="1">
      <sharedItems count="0" containsNumber="1" containsSemiMixedTypes="0" containsString="0" minValue="-0.04079860106284355" maxValue="-0.04079860106284355"/>
    </cacheField>
    <cacheField name="Losses [MW]" uniqueList="1" numFmtId="0" sqlType="0" hierarchy="0" level="0" databaseField="1">
      <sharedItems count="0" containsNumber="1" containsSemiMixedTypes="0" containsString="0" minValue="0.001413522101769524" maxValue="0.006077886306523442"/>
    </cacheField>
    <cacheField name="Losses [MVAr]" uniqueList="1" numFmtId="0" sqlType="0" hierarchy="0" level="0" databaseField="1">
      <sharedItems count="0" containsNumber="1" containsSemiMixedTypes="0" containsString="0" minValue="0.0026105915866666" maxValue="0.01122506597998235"/>
    </cacheField>
    <cacheField name="Loading Percent [%]" uniqueList="1" numFmtId="0" sqlType="0" hierarchy="0" level="0" databaseField="1">
      <sharedItems count="0" containsNumber="1" containsSemiMixedTypes="0" containsString="0" minValue="52.42563832807324" maxValue="91.42563832807321"/>
    </cacheField>
  </cacheFields>
</pivotCacheDefinition>
</file>

<file path=xl/pivotCache/pivotCacheRecords1.xml><?xml version="1.0" encoding="utf-8"?>
<pivotCacheRecords xmlns="http://schemas.openxmlformats.org/spreadsheetml/2006/main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1"/>
    <n v="144.617"/>
  </r>
  <r>
    <x v="2"/>
    <x v="0"/>
    <n v="0"/>
    <n v="1"/>
    <n v="1"/>
    <x v="0"/>
    <n v="363.0000000000001"/>
    <n v="119.3181"/>
  </r>
  <r>
    <x v="2"/>
    <x v="0"/>
    <n v="1"/>
    <n v="2"/>
    <n v="1"/>
    <x v="0"/>
    <n v="363.0000000000001"/>
    <n v="119.3181"/>
  </r>
  <r>
    <x v="2"/>
    <x v="0"/>
    <n v="2"/>
    <n v="3"/>
    <n v="1"/>
    <x v="1"/>
    <n v="484.0000000000001"/>
    <n v="159.0787"/>
  </r>
  <r>
    <x v="3"/>
    <x v="0"/>
    <n v="0"/>
    <n v="1"/>
    <n v="1"/>
    <x v="0"/>
    <n v="399.3000000000001"/>
    <n v="131.24991"/>
  </r>
  <r>
    <x v="3"/>
    <x v="0"/>
    <n v="1"/>
    <n v="2"/>
    <n v="1"/>
    <x v="0"/>
    <n v="399.3000000000001"/>
    <n v="131.24991"/>
  </r>
  <r>
    <x v="3"/>
    <x v="0"/>
    <n v="2"/>
    <n v="3"/>
    <n v="1"/>
    <x v="1"/>
    <n v="532.4000000000002"/>
    <n v="174.98657"/>
  </r>
  <r>
    <x v="4"/>
    <x v="0"/>
    <n v="0"/>
    <n v="1"/>
    <n v="1"/>
    <x v="0"/>
    <n v="439.2300000000001"/>
    <n v="144.3749010000001"/>
  </r>
  <r>
    <x v="4"/>
    <x v="0"/>
    <n v="1"/>
    <n v="2"/>
    <n v="1"/>
    <x v="0"/>
    <n v="439.2300000000001"/>
    <n v="144.3749010000001"/>
  </r>
  <r>
    <x v="4"/>
    <x v="0"/>
    <n v="2"/>
    <n v="3"/>
    <n v="1"/>
    <x v="1"/>
    <n v="585.6400000000003"/>
    <n v="192.485227"/>
  </r>
  <r>
    <x v="5"/>
    <x v="0"/>
    <n v="0"/>
    <n v="1"/>
    <n v="1"/>
    <x v="0"/>
    <n v="483.1530000000002"/>
    <n v="158.8123911000001"/>
  </r>
  <r>
    <x v="5"/>
    <x v="0"/>
    <n v="1"/>
    <n v="2"/>
    <n v="1"/>
    <x v="0"/>
    <n v="483.1530000000002"/>
    <n v="158.8123911000001"/>
  </r>
  <r>
    <x v="5"/>
    <x v="0"/>
    <n v="2"/>
    <n v="3"/>
    <n v="1"/>
    <x v="1"/>
    <n v="644.2040000000004"/>
    <n v="211.7337497000001"/>
  </r>
  <r>
    <x v="6"/>
    <x v="0"/>
    <n v="0"/>
    <n v="1"/>
    <n v="1"/>
    <x v="0"/>
    <n v="531.4683000000002"/>
    <n v="174.6936302100001"/>
  </r>
  <r>
    <x v="6"/>
    <x v="0"/>
    <n v="1"/>
    <n v="2"/>
    <n v="1"/>
    <x v="0"/>
    <n v="531.4683000000002"/>
    <n v="174.6936302100001"/>
  </r>
  <r>
    <x v="6"/>
    <x v="0"/>
    <n v="2"/>
    <n v="3"/>
    <n v="1"/>
    <x v="1"/>
    <n v="708.6244000000005"/>
    <n v="232.9071246700001"/>
  </r>
  <r>
    <x v="7"/>
    <x v="0"/>
    <n v="0"/>
    <n v="1"/>
    <n v="1"/>
    <x v="0"/>
    <n v="584.6151300000002"/>
    <n v="192.1629932310001"/>
  </r>
  <r>
    <x v="7"/>
    <x v="0"/>
    <n v="1"/>
    <n v="2"/>
    <n v="1"/>
    <x v="0"/>
    <n v="584.6151300000002"/>
    <n v="192.1629932310001"/>
  </r>
  <r>
    <x v="7"/>
    <x v="0"/>
    <n v="2"/>
    <n v="3"/>
    <n v="1"/>
    <x v="1"/>
    <n v="779.4868400000006"/>
    <n v="256.1978371370001"/>
  </r>
  <r>
    <x v="8"/>
    <x v="0"/>
    <n v="0"/>
    <n v="1"/>
    <n v="1"/>
    <x v="0"/>
    <n v="643.0766430000003"/>
    <n v="211.3792925541001"/>
  </r>
  <r>
    <x v="8"/>
    <x v="0"/>
    <n v="1"/>
    <n v="2"/>
    <n v="1"/>
    <x v="0"/>
    <n v="643.0766430000003"/>
    <n v="211.3792925541001"/>
  </r>
  <r>
    <x v="8"/>
    <x v="0"/>
    <n v="2"/>
    <n v="3"/>
    <n v="1"/>
    <x v="1"/>
    <n v="857.4355240000008"/>
    <n v="281.8176208507002"/>
  </r>
  <r>
    <x v="9"/>
    <x v="0"/>
    <n v="0"/>
    <n v="1"/>
    <n v="1"/>
    <x v="0"/>
    <n v="707.3843073000004"/>
    <n v="232.5172218095102"/>
  </r>
  <r>
    <x v="9"/>
    <x v="0"/>
    <n v="1"/>
    <n v="2"/>
    <n v="1"/>
    <x v="0"/>
    <n v="707.3843073000004"/>
    <n v="232.5172218095102"/>
  </r>
  <r>
    <x v="9"/>
    <x v="0"/>
    <n v="2"/>
    <n v="3"/>
    <n v="1"/>
    <x v="1"/>
    <n v="943.1790764000009"/>
    <n v="309.9993829357702"/>
  </r>
  <r>
    <x v="10"/>
    <x v="0"/>
    <n v="0"/>
    <n v="1"/>
    <n v="1"/>
    <x v="0"/>
    <n v="778.1227380300005"/>
    <n v="255.7689439904612"/>
  </r>
  <r>
    <x v="10"/>
    <x v="0"/>
    <n v="1"/>
    <n v="2"/>
    <n v="1"/>
    <x v="0"/>
    <n v="778.1227380300005"/>
    <n v="255.7689439904612"/>
  </r>
  <r>
    <x v="10"/>
    <x v="0"/>
    <n v="2"/>
    <n v="3"/>
    <n v="1"/>
    <x v="1"/>
    <n v="1037.496984040001"/>
    <n v="340.9993212293472"/>
  </r>
</pivotCacheRecords>
</file>

<file path=xl/pivotCache/pivotCacheRecords2.xml><?xml version="1.0" encoding="utf-8"?>
<pivotCacheRecords xmlns="http://schemas.openxmlformats.org/spreadsheetml/2006/main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4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1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1"/>
    <n v="-38.2096234444254"/>
  </r>
  <r>
    <x v="2"/>
    <x v="0"/>
    <n v="0"/>
    <n v="0"/>
    <x v="0"/>
    <x v="0"/>
    <x v="0"/>
    <s v="---"/>
    <n v="1"/>
    <n v="1"/>
    <n v="44"/>
    <n v="33"/>
    <n v="0"/>
    <n v="-33"/>
    <n v="48.40000000000001"/>
    <n v="33.79767586977361"/>
  </r>
  <r>
    <x v="2"/>
    <x v="0"/>
    <n v="2"/>
    <n v="1"/>
    <x v="1"/>
    <x v="1"/>
    <x v="0"/>
    <s v="---"/>
    <n v="1"/>
    <n v="1"/>
    <n v="572"/>
    <n v="429.0000000000001"/>
    <n v="0"/>
    <n v="-429.0000000000001"/>
    <n v="391.4229000000001"/>
    <n v="214.120192211697"/>
  </r>
  <r>
    <x v="2"/>
    <x v="0"/>
    <n v="4"/>
    <n v="2"/>
    <x v="2"/>
    <x v="2"/>
    <x v="1"/>
    <s v="---"/>
    <n v="1"/>
    <n v="1"/>
    <n v="660"/>
    <n v="495.0000000000001"/>
    <n v="0"/>
    <n v="-495.0000000000001"/>
    <n v="564.4771000000001"/>
    <n v="-42.03058578886794"/>
  </r>
  <r>
    <x v="3"/>
    <x v="0"/>
    <n v="0"/>
    <n v="0"/>
    <x v="0"/>
    <x v="0"/>
    <x v="0"/>
    <s v="---"/>
    <n v="1"/>
    <n v="1"/>
    <n v="44"/>
    <n v="33"/>
    <n v="0"/>
    <n v="-33"/>
    <n v="53.24000000000001"/>
    <n v="33.79767586977361"/>
  </r>
  <r>
    <x v="3"/>
    <x v="0"/>
    <n v="2"/>
    <n v="1"/>
    <x v="1"/>
    <x v="1"/>
    <x v="0"/>
    <s v="---"/>
    <n v="1"/>
    <n v="1"/>
    <n v="572"/>
    <n v="429.0000000000001"/>
    <n v="0"/>
    <n v="-429.0000000000001"/>
    <n v="430.5651900000001"/>
    <n v="214.120192211697"/>
  </r>
  <r>
    <x v="3"/>
    <x v="0"/>
    <n v="4"/>
    <n v="2"/>
    <x v="2"/>
    <x v="2"/>
    <x v="1"/>
    <s v="---"/>
    <n v="1"/>
    <n v="1"/>
    <n v="660"/>
    <n v="495.0000000000001"/>
    <n v="0"/>
    <n v="-495.0000000000001"/>
    <n v="620.9248100000001"/>
    <n v="-42.03058578886794"/>
  </r>
  <r>
    <x v="4"/>
    <x v="0"/>
    <n v="0"/>
    <n v="0"/>
    <x v="0"/>
    <x v="0"/>
    <x v="0"/>
    <s v="---"/>
    <n v="1"/>
    <n v="1"/>
    <n v="48.40000000000001"/>
    <n v="36.3"/>
    <n v="0"/>
    <n v="-36.3"/>
    <n v="58.56400000000001"/>
    <n v="37.17744345675098"/>
  </r>
  <r>
    <x v="4"/>
    <x v="0"/>
    <n v="2"/>
    <n v="1"/>
    <x v="1"/>
    <x v="1"/>
    <x v="0"/>
    <s v="---"/>
    <n v="1"/>
    <n v="1"/>
    <n v="629.2"/>
    <n v="471.9000000000001"/>
    <n v="0"/>
    <n v="-471.9000000000001"/>
    <n v="473.6217090000002"/>
    <n v="235.5322114328667"/>
  </r>
  <r>
    <x v="4"/>
    <x v="0"/>
    <n v="4"/>
    <n v="2"/>
    <x v="2"/>
    <x v="2"/>
    <x v="1"/>
    <s v="---"/>
    <n v="1"/>
    <n v="1"/>
    <n v="726.0000000000001"/>
    <n v="544.5000000000001"/>
    <n v="0"/>
    <n v="-544.5000000000001"/>
    <n v="683.0172910000001"/>
    <n v="-46.23364436775474"/>
  </r>
  <r>
    <x v="5"/>
    <x v="0"/>
    <n v="0"/>
    <n v="0"/>
    <x v="0"/>
    <x v="0"/>
    <x v="0"/>
    <s v="---"/>
    <n v="1"/>
    <n v="1"/>
    <n v="48.40000000000001"/>
    <n v="36.3"/>
    <n v="0"/>
    <n v="-36.3"/>
    <n v="64.42040000000001"/>
    <n v="37.17744345675098"/>
  </r>
  <r>
    <x v="5"/>
    <x v="0"/>
    <n v="2"/>
    <n v="1"/>
    <x v="1"/>
    <x v="1"/>
    <x v="0"/>
    <s v="---"/>
    <n v="1"/>
    <n v="1"/>
    <n v="629.2"/>
    <n v="471.9000000000001"/>
    <n v="0"/>
    <n v="-471.9000000000001"/>
    <n v="520.9838799000003"/>
    <n v="235.5322114328667"/>
  </r>
  <r>
    <x v="5"/>
    <x v="0"/>
    <n v="4"/>
    <n v="2"/>
    <x v="2"/>
    <x v="2"/>
    <x v="1"/>
    <s v="---"/>
    <n v="1"/>
    <n v="1"/>
    <n v="726.0000000000001"/>
    <n v="544.5000000000001"/>
    <n v="0"/>
    <n v="-544.5000000000001"/>
    <n v="751.3190201000002"/>
    <n v="-46.23364436775474"/>
  </r>
  <r>
    <x v="6"/>
    <x v="0"/>
    <n v="0"/>
    <n v="0"/>
    <x v="0"/>
    <x v="0"/>
    <x v="0"/>
    <s v="---"/>
    <n v="1"/>
    <n v="1"/>
    <n v="53.24000000000001"/>
    <n v="39.93000000000001"/>
    <n v="0"/>
    <n v="-39.93000000000001"/>
    <n v="70.86244000000002"/>
    <n v="40.89518780242608"/>
  </r>
  <r>
    <x v="6"/>
    <x v="0"/>
    <n v="2"/>
    <n v="1"/>
    <x v="1"/>
    <x v="1"/>
    <x v="0"/>
    <s v="---"/>
    <n v="1"/>
    <n v="1"/>
    <n v="692.1200000000001"/>
    <n v="519.0900000000001"/>
    <n v="0"/>
    <n v="-519.0900000000001"/>
    <n v="573.0822678900004"/>
    <n v="259.0854325761534"/>
  </r>
  <r>
    <x v="6"/>
    <x v="0"/>
    <n v="4"/>
    <n v="2"/>
    <x v="2"/>
    <x v="2"/>
    <x v="1"/>
    <s v="---"/>
    <n v="1"/>
    <n v="1"/>
    <n v="798.6000000000001"/>
    <n v="598.9500000000002"/>
    <n v="0"/>
    <n v="-598.9500000000002"/>
    <n v="826.4509221100003"/>
    <n v="-50.85700880453021"/>
  </r>
  <r>
    <x v="7"/>
    <x v="0"/>
    <n v="0"/>
    <n v="0"/>
    <x v="0"/>
    <x v="0"/>
    <x v="0"/>
    <s v="---"/>
    <n v="1"/>
    <n v="1"/>
    <n v="53.24000000000001"/>
    <n v="39.93000000000001"/>
    <n v="0"/>
    <n v="-39.93000000000001"/>
    <n v="77.94868400000003"/>
    <n v="40.89518780242608"/>
  </r>
  <r>
    <x v="7"/>
    <x v="0"/>
    <n v="2"/>
    <n v="1"/>
    <x v="1"/>
    <x v="1"/>
    <x v="0"/>
    <s v="---"/>
    <n v="1"/>
    <n v="1"/>
    <n v="692.1200000000001"/>
    <n v="519.0900000000001"/>
    <n v="0"/>
    <n v="-519.0900000000001"/>
    <n v="630.3904946790004"/>
    <n v="259.0854325761534"/>
  </r>
  <r>
    <x v="7"/>
    <x v="0"/>
    <n v="4"/>
    <n v="2"/>
    <x v="2"/>
    <x v="2"/>
    <x v="1"/>
    <s v="---"/>
    <n v="1"/>
    <n v="1"/>
    <n v="798.6000000000001"/>
    <n v="598.9500000000002"/>
    <n v="0"/>
    <n v="-598.9500000000002"/>
    <n v="909.0960143210004"/>
    <n v="-50.85700880453021"/>
  </r>
  <r>
    <x v="8"/>
    <x v="0"/>
    <n v="0"/>
    <n v="0"/>
    <x v="0"/>
    <x v="0"/>
    <x v="0"/>
    <s v="---"/>
    <n v="1"/>
    <n v="1"/>
    <n v="58.56400000000001"/>
    <n v="43.92300000000001"/>
    <n v="0"/>
    <n v="-43.92300000000001"/>
    <n v="85.74355240000004"/>
    <n v="44.98470658266869"/>
  </r>
  <r>
    <x v="8"/>
    <x v="0"/>
    <n v="2"/>
    <n v="1"/>
    <x v="1"/>
    <x v="1"/>
    <x v="0"/>
    <s v="---"/>
    <n v="1"/>
    <n v="1"/>
    <n v="761.3320000000002"/>
    <n v="570.9990000000003"/>
    <n v="0"/>
    <n v="-570.9990000000003"/>
    <n v="693.4295441469005"/>
    <n v="284.9939758337688"/>
  </r>
  <r>
    <x v="8"/>
    <x v="0"/>
    <n v="4"/>
    <n v="2"/>
    <x v="2"/>
    <x v="2"/>
    <x v="1"/>
    <s v="---"/>
    <n v="1"/>
    <n v="1"/>
    <n v="878.4600000000003"/>
    <n v="658.8450000000003"/>
    <n v="0"/>
    <n v="-658.8450000000003"/>
    <n v="1000.005615753101"/>
    <n v="-55.94270968498324"/>
  </r>
  <r>
    <x v="9"/>
    <x v="0"/>
    <n v="0"/>
    <n v="0"/>
    <x v="0"/>
    <x v="0"/>
    <x v="0"/>
    <s v="---"/>
    <n v="1"/>
    <n v="1"/>
    <n v="58.56400000000001"/>
    <n v="43.92300000000001"/>
    <n v="0"/>
    <n v="-43.92300000000001"/>
    <n v="94.31790764000006"/>
    <n v="44.98470658266869"/>
  </r>
  <r>
    <x v="9"/>
    <x v="0"/>
    <n v="2"/>
    <n v="1"/>
    <x v="1"/>
    <x v="1"/>
    <x v="0"/>
    <s v="---"/>
    <n v="1"/>
    <n v="1"/>
    <n v="761.3320000000002"/>
    <n v="570.9990000000003"/>
    <n v="0"/>
    <n v="-570.9990000000003"/>
    <n v="762.7724985615906"/>
    <n v="284.9939758337688"/>
  </r>
  <r>
    <x v="9"/>
    <x v="0"/>
    <n v="4"/>
    <n v="2"/>
    <x v="2"/>
    <x v="2"/>
    <x v="1"/>
    <s v="---"/>
    <n v="1"/>
    <n v="1"/>
    <n v="878.4600000000003"/>
    <n v="658.8450000000003"/>
    <n v="0"/>
    <n v="-658.8450000000003"/>
    <n v="1100.006177328411"/>
    <n v="-55.94270968498324"/>
  </r>
  <r>
    <x v="10"/>
    <x v="0"/>
    <n v="0"/>
    <n v="0"/>
    <x v="0"/>
    <x v="0"/>
    <x v="0"/>
    <s v="---"/>
    <n v="1"/>
    <n v="1"/>
    <n v="64.42040000000001"/>
    <n v="48.31530000000001"/>
    <n v="0"/>
    <n v="-48.31530000000001"/>
    <n v="103.7496984040001"/>
    <n v="49.48317724093557"/>
  </r>
  <r>
    <x v="10"/>
    <x v="0"/>
    <n v="2"/>
    <n v="1"/>
    <x v="1"/>
    <x v="1"/>
    <x v="0"/>
    <s v="---"/>
    <n v="1"/>
    <n v="1"/>
    <n v="837.4652000000003"/>
    <n v="628.0989000000003"/>
    <n v="0"/>
    <n v="-628.0989000000003"/>
    <n v="839.0497484177497"/>
    <n v="313.4933734171457"/>
  </r>
  <r>
    <x v="10"/>
    <x v="0"/>
    <n v="4"/>
    <n v="2"/>
    <x v="2"/>
    <x v="2"/>
    <x v="1"/>
    <s v="---"/>
    <n v="1"/>
    <n v="1"/>
    <n v="966.3060000000004"/>
    <n v="724.7295000000004"/>
    <n v="0"/>
    <n v="-724.7295000000004"/>
    <n v="1210.006795061252"/>
    <n v="-61.53698065348156"/>
  </r>
</pivotCacheRecords>
</file>

<file path=xl/pivotCache/pivotCacheRecords3.xml><?xml version="1.0" encoding="utf-8"?>
<pivotCacheRecords xmlns="http://schemas.openxmlformats.org/spreadsheetml/2006/main" count="10">
  <r>
    <x v="0"/>
    <x v="0"/>
    <x v="0"/>
    <n v="0"/>
    <x v="0"/>
    <n v="1"/>
    <n v="0.9999999999999999"/>
    <n v="3.273360854024771"/>
    <n v="-210"/>
    <n v="-30.72515988161237"/>
  </r>
  <r>
    <x v="0"/>
    <x v="1"/>
    <x v="0"/>
    <n v="1"/>
    <x v="0"/>
    <n v="1"/>
    <n v="0.9892612371179855"/>
    <n v="-0.7592692851644819"/>
    <n v="300"/>
    <n v="98.61"/>
  </r>
  <r>
    <x v="0"/>
    <x v="2"/>
    <x v="0"/>
    <n v="2"/>
    <x v="0"/>
    <n v="1"/>
    <n v="1"/>
    <n v="-0.4922586774046994"/>
    <n v="-23.49000000000001"/>
    <n v="-96.04472019245181"/>
  </r>
  <r>
    <x v="0"/>
    <x v="3"/>
    <x v="0"/>
    <n v="3"/>
    <x v="0"/>
    <n v="1"/>
    <n v="1"/>
    <n v="0"/>
    <n v="394.972819956716"/>
    <n v="-52.65293014967654"/>
  </r>
  <r>
    <x v="0"/>
    <x v="4"/>
    <x v="0"/>
    <n v="4"/>
    <x v="0"/>
    <n v="1"/>
    <n v="0.9999999999999999"/>
    <n v="4.112031000646839"/>
    <n v="-466.51"/>
    <n v="38.2096234444254"/>
  </r>
  <r>
    <x v="1"/>
    <x v="0"/>
    <x v="0"/>
    <n v="0"/>
    <x v="0"/>
    <n v="1"/>
    <n v="0.9999999999999999"/>
    <n v="3.273360854024771"/>
    <n v="-210"/>
    <n v="-30.72515988161237"/>
  </r>
  <r>
    <x v="1"/>
    <x v="1"/>
    <x v="0"/>
    <n v="1"/>
    <x v="0"/>
    <n v="1"/>
    <n v="0.9892612371179855"/>
    <n v="-0.7592692851644819"/>
    <n v="300"/>
    <n v="98.61"/>
  </r>
  <r>
    <x v="1"/>
    <x v="2"/>
    <x v="0"/>
    <n v="2"/>
    <x v="0"/>
    <n v="1"/>
    <n v="1"/>
    <n v="-0.4922586774046994"/>
    <n v="-23.49000000000001"/>
    <n v="-96.04472019245181"/>
  </r>
  <r>
    <x v="1"/>
    <x v="3"/>
    <x v="0"/>
    <n v="3"/>
    <x v="0"/>
    <n v="1"/>
    <n v="1"/>
    <n v="0"/>
    <n v="394.972819956716"/>
    <n v="-52.65293014967654"/>
  </r>
  <r>
    <x v="1"/>
    <x v="4"/>
    <x v="0"/>
    <n v="4"/>
    <x v="0"/>
    <n v="1"/>
    <n v="0.9999999999999999"/>
    <n v="4.112031000646839"/>
    <n v="-466.51"/>
    <n v="38.2096234444254"/>
  </r>
</pivotCacheRecords>
</file>

<file path=xl/pivotCache/pivotCacheRecords4.xml><?xml version="1.0" encoding="utf-8"?>
<pivotCacheRecords xmlns="http://schemas.openxmlformats.org/spreadsheetml/2006/main" count="66">
  <r>
    <x v="0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766612263700097"/>
    <n v="16.96172758188619"/>
    <n v="62.68569494400224"/>
  </r>
  <r>
    <x v="0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062745849092551"/>
    <n v="9.96945849092544"/>
    <n v="0.0004694061254276349"/>
  </r>
  <r>
    <x v="0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314576152193069"/>
    <n v="0.1885761522042877"/>
    <n v="0.0005716431657691225"/>
  </r>
  <r>
    <x v="0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254174606009926"/>
    <n v="-0.5780439924030958"/>
    <n v="0.0002725195947164952"/>
  </r>
  <r>
    <x v="0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460713215354815"/>
    <n v="-0.4279286784644367"/>
    <n v="7.234050190158276e-05"/>
  </r>
  <r>
    <x v="0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716339722517489"/>
    <n v="16.48939722517456"/>
    <n v="100.1731638810112"/>
  </r>
  <r>
    <x v="1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1.943273490070107"/>
    <n v="16.96172758188619"/>
    <n v="68.95426443840248"/>
  </r>
  <r>
    <x v="1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169020434001806"/>
    <n v="9.96945849092544"/>
    <n v="0.0005163467379703984"/>
  </r>
  <r>
    <x v="1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3646033767412376"/>
    <n v="0.1885761522042877"/>
    <n v="0.0006288074823460349"/>
  </r>
  <r>
    <x v="1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379592066610919"/>
    <n v="-0.5780439924030958"/>
    <n v="0.0002997715541881448"/>
  </r>
  <r>
    <x v="1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706784536890297"/>
    <n v="-0.4279286784644367"/>
    <n v="7.957455209174104e-05"/>
  </r>
  <r>
    <x v="1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1.887973694769238"/>
    <n v="16.48939722517456"/>
    <n v="110.1904802691123"/>
  </r>
  <r>
    <x v="2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137600839077118"/>
    <n v="16.96172758188619"/>
    <n v="75.84969088224273"/>
  </r>
  <r>
    <x v="2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285922477401987"/>
    <n v="9.96945849092544"/>
    <n v="0.0005679814117674384"/>
  </r>
  <r>
    <x v="2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010637144153614"/>
    <n v="0.1885761522042877"/>
    <n v="0.0006916882305806384"/>
  </r>
  <r>
    <x v="2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517551273272011"/>
    <n v="-0.5780439924030958"/>
    <n v="0.0003297487096069593"/>
  </r>
  <r>
    <x v="2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2977462990579327"/>
    <n v="-0.4279286784644367"/>
    <n v="8.753200730091515e-05"/>
  </r>
  <r>
    <x v="2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076771064246162"/>
    <n v="16.48939722517456"/>
    <n v="121.2095282960236"/>
  </r>
  <r>
    <x v="3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35136092298483"/>
    <n v="16.96172758188619"/>
    <n v="83.43465997046701"/>
  </r>
  <r>
    <x v="3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414514725142186"/>
    <n v="9.96945849092544"/>
    <n v="0.0006247795529441822"/>
  </r>
  <r>
    <x v="3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411700858568975"/>
    <n v="0.1885761522042877"/>
    <n v="0.0007608570536387023"/>
  </r>
  <r>
    <x v="3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669306400599212"/>
    <n v="-0.5780439924030958"/>
    <n v="0.0003627235805676552"/>
  </r>
  <r>
    <x v="3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27520928963726"/>
    <n v="-0.4279286784644367"/>
    <n v="9.628520803100668e-05"/>
  </r>
  <r>
    <x v="3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284448170670779"/>
    <n v="16.48939722517456"/>
    <n v="133.330481125626"/>
  </r>
  <r>
    <x v="4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586497015283313"/>
    <n v="16.96172758188619"/>
    <n v="91.77812596751372"/>
  </r>
  <r>
    <x v="4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555966197656404"/>
    <n v="9.96945849092544"/>
    <n v="0.0006872575082386004"/>
  </r>
  <r>
    <x v="4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4852870944425873"/>
    <n v="0.1885761522042877"/>
    <n v="0.0008369427590025726"/>
  </r>
  <r>
    <x v="4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1836237040659133"/>
    <n v="-0.5780439924030958"/>
    <n v="0.0003989959386244208"/>
  </r>
  <r>
    <x v="4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602730218600986"/>
    <n v="-0.4279286784644367"/>
    <n v="0.0001059137288341074"/>
  </r>
  <r>
    <x v="4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512892987737857"/>
    <n v="16.48939722517456"/>
    <n v="146.6635292381886"/>
  </r>
  <r>
    <x v="5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2.845146716811644"/>
    <n v="16.96172758188619"/>
    <n v="100.9559385642651"/>
  </r>
  <r>
    <x v="5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711562817422045"/>
    <n v="9.96945849092544"/>
    <n v="0.0007559832590624605"/>
  </r>
  <r>
    <x v="5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338158038868461"/>
    <n v="0.1885761522042877"/>
    <n v="0.0009206370349028299"/>
  </r>
  <r>
    <x v="5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019860744725047"/>
    <n v="-0.5780439924030958"/>
    <n v="0.0004388955324868629"/>
  </r>
  <r>
    <x v="5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3963003240461085"/>
    <n v="-0.4279286784644367"/>
    <n v="0.0001165051017175181"/>
  </r>
  <r>
    <x v="5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2.764182286511643"/>
    <n v="16.48939722517456"/>
    <n v="161.3298821620074"/>
  </r>
  <r>
    <x v="6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129661388492809"/>
    <n v="16.96172758188619"/>
    <n v="111.0515324206916"/>
  </r>
  <r>
    <x v="6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1.88271909916425"/>
    <n v="9.96945849092544"/>
    <n v="0.0008315815849687066"/>
  </r>
  <r>
    <x v="6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5871973842755308"/>
    <n v="0.1885761522042877"/>
    <n v="0.001012700738393113"/>
  </r>
  <r>
    <x v="6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221846819197552"/>
    <n v="-0.5780439924030958"/>
    <n v="0.0004827850857355492"/>
  </r>
  <r>
    <x v="6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359303564507194"/>
    <n v="-0.4279286784644367"/>
    <n v="0.0001281556118892699"/>
  </r>
  <r>
    <x v="6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040600515162807"/>
    <n v="16.48939722517456"/>
    <n v="177.4628703782082"/>
  </r>
  <r>
    <x v="7"/>
    <x v="0"/>
    <n v="0"/>
    <x v="0"/>
    <s v="---"/>
    <n v="0"/>
    <n v="1"/>
    <n v="1"/>
    <n v="1"/>
    <n v="1.00408742467761"/>
    <n v="100"/>
    <n v="1"/>
    <s v="---"/>
    <n v="249.7733725409011"/>
    <n v="21.59909513274179"/>
    <n v="-248.006760277201"/>
    <n v="-4.637367550855609"/>
    <n v="3.44262752734209"/>
    <n v="16.96172758188619"/>
    <n v="122.1566856627608"/>
  </r>
  <r>
    <x v="7"/>
    <x v="0"/>
    <n v="1"/>
    <x v="1"/>
    <s v="---"/>
    <n v="0"/>
    <n v="3"/>
    <n v="1"/>
    <n v="1"/>
    <n v="99999"/>
    <n v="100"/>
    <n v="1"/>
    <s v="---"/>
    <n v="186.5001421546756"/>
    <n v="-13.61214767755046"/>
    <n v="-185.437396305583"/>
    <n v="23.5816061684759"/>
    <n v="2.070991009080675"/>
    <n v="9.96945849092544"/>
    <n v="0.0009147397434655773"/>
  </r>
  <r>
    <x v="7"/>
    <x v="0"/>
    <n v="2"/>
    <x v="1"/>
    <s v="---"/>
    <n v="0"/>
    <n v="4"/>
    <n v="1"/>
    <n v="1"/>
    <n v="99999"/>
    <n v="100"/>
    <n v="1"/>
    <s v="---"/>
    <n v="-226.2735146955769"/>
    <n v="22.73821242642197"/>
    <n v="226.6049723107962"/>
    <n v="-22.54963627421769"/>
    <n v="0.645917122703084"/>
    <n v="0.1885761522042877"/>
    <n v="0.001113970812232424"/>
  </r>
  <r>
    <x v="7"/>
    <x v="0"/>
    <n v="3"/>
    <x v="1"/>
    <s v="---"/>
    <n v="1"/>
    <n v="2"/>
    <n v="1"/>
    <n v="1"/>
    <n v="99999"/>
    <n v="100"/>
    <n v="1"/>
    <s v="---"/>
    <n v="-51.99323972279875"/>
    <n v="-93.97263244914096"/>
    <n v="52.11865718339974"/>
    <n v="93.39458845673786"/>
    <n v="0.2444031501117307"/>
    <n v="-0.5780439924030958"/>
    <n v="0.0005310635943091041"/>
  </r>
  <r>
    <x v="7"/>
    <x v="0"/>
    <n v="4"/>
    <x v="1"/>
    <s v="---"/>
    <n v="2"/>
    <n v="3"/>
    <n v="1"/>
    <n v="1"/>
    <n v="99999"/>
    <n v="100"/>
    <n v="1"/>
    <s v="---"/>
    <n v="-28.62865718339954"/>
    <n v="2.65013173571609"/>
    <n v="28.65326431555309"/>
    <n v="-3.078060414180527"/>
    <n v="0.04795233920957914"/>
    <n v="-0.4279286784644367"/>
    <n v="0.0001409711730781969"/>
  </r>
  <r>
    <x v="7"/>
    <x v="0"/>
    <n v="5"/>
    <x v="1"/>
    <s v="---"/>
    <n v="3"/>
    <n v="4"/>
    <n v="1"/>
    <n v="1"/>
    <n v="0.6024524548065699"/>
    <n v="100"/>
    <n v="1"/>
    <s v="---"/>
    <n v="-238.1886879666861"/>
    <n v="32.14938439538173"/>
    <n v="239.9050276892036"/>
    <n v="-15.65998717020717"/>
    <n v="3.344660566679089"/>
    <n v="16.48939722517456"/>
    <n v="195.2091574160291"/>
  </r>
  <r>
    <x v="8"/>
    <x v="0"/>
    <n v="0"/>
    <x v="0"/>
    <s v="---"/>
    <n v="0"/>
    <n v="1"/>
    <n v="1"/>
    <n v="1"/>
    <n v="1.00408742467761"/>
    <n v="100"/>
    <n v="1"/>
    <s v="---"/>
    <n v="-447.748718749973"/>
    <n v="61.6486370550474"/>
    <n v="451.156791062854"/>
    <n v="-28.2419139262338"/>
    <n v="3.7868902800763"/>
    <n v="33.4067231288136"/>
    <n v="134.3723542290369"/>
  </r>
  <r>
    <x v="8"/>
    <x v="0"/>
    <n v="1"/>
    <x v="1"/>
    <s v="---"/>
    <n v="0"/>
    <n v="3"/>
    <n v="1"/>
    <n v="1"/>
    <n v="99999"/>
    <n v="100"/>
    <n v="1"/>
    <s v="---"/>
    <n v="-657.30874953326"/>
    <n v="91.147889714713"/>
    <n v="662.408554436504"/>
    <n v="-40.8238406822604"/>
    <n v="2.278090109988742"/>
    <n v="50.3240490324526"/>
    <n v="0.001006213717812135"/>
  </r>
  <r>
    <x v="8"/>
    <x v="0"/>
    <n v="2"/>
    <x v="1"/>
    <s v="---"/>
    <n v="0"/>
    <n v="4"/>
    <n v="1"/>
    <n v="1"/>
    <n v="99999"/>
    <n v="100"/>
    <n v="1"/>
    <s v="---"/>
    <n v="-866.868780316546"/>
    <n v="120.647142374379"/>
    <n v="873.660317810155"/>
    <n v="-53.4057674382871"/>
    <n v="0.7105088349733925"/>
    <n v="67.2413749360916"/>
    <n v="0.001225367893455667"/>
  </r>
  <r>
    <x v="8"/>
    <x v="0"/>
    <n v="3"/>
    <x v="1"/>
    <s v="---"/>
    <n v="1"/>
    <n v="2"/>
    <n v="1"/>
    <n v="1"/>
    <n v="99999"/>
    <n v="100"/>
    <n v="1"/>
    <s v="---"/>
    <n v="-1076.42881109983"/>
    <n v="150.146395034044"/>
    <n v="1084.9120811838"/>
    <n v="-65.9876941943137"/>
    <n v="0.2688434651229038"/>
    <n v="84.1587008397306"/>
    <n v="0.0005841699537400145"/>
  </r>
  <r>
    <x v="8"/>
    <x v="0"/>
    <n v="4"/>
    <x v="1"/>
    <s v="---"/>
    <n v="2"/>
    <n v="3"/>
    <n v="1"/>
    <n v="1"/>
    <n v="99999"/>
    <n v="100"/>
    <n v="1"/>
    <s v="---"/>
    <n v="-1285.98884188312"/>
    <n v="179.64564769371"/>
    <n v="1296.16384455745"/>
    <n v="-78.56962095034039"/>
    <n v="0.05274757313053705"/>
    <n v="101.07602674337"/>
    <n v="0.0001550682903860166"/>
  </r>
  <r>
    <x v="8"/>
    <x v="0"/>
    <n v="5"/>
    <x v="1"/>
    <s v="---"/>
    <n v="3"/>
    <n v="4"/>
    <n v="1"/>
    <n v="1"/>
    <n v="0.6024524548065699"/>
    <n v="100"/>
    <n v="1"/>
    <s v="---"/>
    <n v="-1495.54887266641"/>
    <n v="209.144900353375"/>
    <n v="1507.4156079311"/>
    <n v="-91.151547706367"/>
    <n v="3.679126623346998"/>
    <n v="117.993352647009"/>
    <n v="214.730073157632"/>
  </r>
  <r>
    <x v="9"/>
    <x v="0"/>
    <n v="0"/>
    <x v="0"/>
    <s v="---"/>
    <n v="0"/>
    <n v="1"/>
    <n v="1"/>
    <n v="1"/>
    <n v="1.00408742467761"/>
    <n v="100"/>
    <n v="1"/>
    <s v="---"/>
    <n v="-1705.10890344969"/>
    <n v="238.644153013041"/>
    <n v="1718.66737130475"/>
    <n v="-103.733474462394"/>
    <n v="4.16557930808393"/>
    <n v="134.910678550648"/>
    <n v="147.8095896519406"/>
  </r>
  <r>
    <x v="9"/>
    <x v="0"/>
    <n v="1"/>
    <x v="1"/>
    <s v="---"/>
    <n v="0"/>
    <n v="3"/>
    <n v="1"/>
    <n v="1"/>
    <n v="99999"/>
    <n v="100"/>
    <n v="1"/>
    <s v="---"/>
    <n v="-1914.66893423298"/>
    <n v="268.143405672707"/>
    <n v="1929.9191346784"/>
    <n v="-116.315401218421"/>
    <n v="2.505899120987617"/>
    <n v="151.828004454287"/>
    <n v="0.001106835089593349"/>
  </r>
  <r>
    <x v="9"/>
    <x v="0"/>
    <n v="2"/>
    <x v="1"/>
    <s v="---"/>
    <n v="0"/>
    <n v="4"/>
    <n v="1"/>
    <n v="1"/>
    <n v="99999"/>
    <n v="100"/>
    <n v="1"/>
    <s v="---"/>
    <n v="-2124.22896501627"/>
    <n v="297.642658332372"/>
    <n v="2141.17089805206"/>
    <n v="-128.897327974447"/>
    <n v="0.7815597184707318"/>
    <n v="168.745330357926"/>
    <n v="0.001347904682801234"/>
  </r>
  <r>
    <x v="9"/>
    <x v="0"/>
    <n v="3"/>
    <x v="1"/>
    <s v="---"/>
    <n v="1"/>
    <n v="2"/>
    <n v="1"/>
    <n v="1"/>
    <n v="99999"/>
    <n v="100"/>
    <n v="1"/>
    <s v="---"/>
    <n v="-2333.78899579955"/>
    <n v="327.141910992038"/>
    <n v="2352.42266142571"/>
    <n v="-141.479254730474"/>
    <n v="0.2957278116351942"/>
    <n v="185.662656261565"/>
    <n v="0.000642586949114016"/>
  </r>
  <r>
    <x v="9"/>
    <x v="0"/>
    <n v="4"/>
    <x v="1"/>
    <s v="---"/>
    <n v="2"/>
    <n v="3"/>
    <n v="1"/>
    <n v="1"/>
    <n v="99999"/>
    <n v="100"/>
    <n v="1"/>
    <s v="---"/>
    <n v="-2543.34902658284"/>
    <n v="356.641163651704"/>
    <n v="2563.67442479936"/>
    <n v="-154.061181486501"/>
    <n v="0.05802233044359077"/>
    <n v="202.579982165204"/>
    <n v="0.0001705751194246183"/>
  </r>
  <r>
    <x v="9"/>
    <x v="0"/>
    <n v="5"/>
    <x v="1"/>
    <s v="---"/>
    <n v="3"/>
    <n v="4"/>
    <n v="1"/>
    <n v="1"/>
    <n v="0.6024524548065699"/>
    <n v="100"/>
    <n v="1"/>
    <s v="---"/>
    <n v="-2752.90905736613"/>
    <n v="386.140416311369"/>
    <n v="2774.92618817301"/>
    <n v="-166.643108242527"/>
    <n v="4.047039285681698"/>
    <n v="219.497308068843"/>
    <n v="236.2030804733952"/>
  </r>
  <r>
    <x v="10"/>
    <x v="0"/>
    <n v="0"/>
    <x v="0"/>
    <s v="---"/>
    <n v="0"/>
    <n v="1"/>
    <n v="1"/>
    <n v="1"/>
    <n v="1.00408742467761"/>
    <n v="100"/>
    <n v="1"/>
    <s v="---"/>
    <n v="-2962.46908814941"/>
    <n v="415.639668971035"/>
    <n v="2986.17795154666"/>
    <n v="-179.225034998554"/>
    <n v="4.582137238892323"/>
    <n v="236.414633972482"/>
    <n v="162.5905486171346"/>
  </r>
  <r>
    <x v="10"/>
    <x v="0"/>
    <n v="1"/>
    <x v="1"/>
    <s v="---"/>
    <n v="0"/>
    <n v="3"/>
    <n v="1"/>
    <n v="1"/>
    <n v="99999"/>
    <n v="100"/>
    <n v="1"/>
    <s v="---"/>
    <n v="-3172.0291189327"/>
    <n v="445.138921630701"/>
    <n v="3197.42971492031"/>
    <n v="-191.806961754581"/>
    <n v="2.756489033086379"/>
    <n v="253.331959876121"/>
    <n v="0.001217518598552684"/>
  </r>
  <r>
    <x v="10"/>
    <x v="0"/>
    <n v="2"/>
    <x v="1"/>
    <s v="---"/>
    <n v="0"/>
    <n v="4"/>
    <n v="1"/>
    <n v="1"/>
    <n v="99999"/>
    <n v="100"/>
    <n v="1"/>
    <s v="---"/>
    <n v="-3381.58914971598"/>
    <n v="474.638174290366"/>
    <n v="3408.68147829396"/>
    <n v="-204.388888510607"/>
    <n v="0.859715690317805"/>
    <n v="270.24928577976"/>
    <n v="0.001482695151081358"/>
  </r>
  <r>
    <x v="10"/>
    <x v="0"/>
    <n v="3"/>
    <x v="1"/>
    <s v="---"/>
    <n v="1"/>
    <n v="2"/>
    <n v="1"/>
    <n v="1"/>
    <n v="99999"/>
    <n v="100"/>
    <n v="1"/>
    <s v="---"/>
    <n v="-3591.14918049927"/>
    <n v="504.137426950032"/>
    <n v="3619.93324166761"/>
    <n v="-216.970815266634"/>
    <n v="0.3253005927987137"/>
    <n v="287.166611683399"/>
    <n v="0.0007068456440254176"/>
  </r>
  <r>
    <x v="10"/>
    <x v="0"/>
    <n v="4"/>
    <x v="1"/>
    <s v="---"/>
    <n v="2"/>
    <n v="3"/>
    <n v="1"/>
    <n v="1"/>
    <n v="99999"/>
    <n v="100"/>
    <n v="1"/>
    <s v="---"/>
    <n v="-3800.70921128256"/>
    <n v="533.636679609698"/>
    <n v="3831.18500504126"/>
    <n v="-229.552742022661"/>
    <n v="0.06382456348794985"/>
    <n v="304.083937587038"/>
    <n v="0.0001876326313670801"/>
  </r>
  <r>
    <x v="10"/>
    <x v="0"/>
    <n v="5"/>
    <x v="1"/>
    <s v="---"/>
    <n v="3"/>
    <n v="4"/>
    <n v="1"/>
    <n v="1"/>
    <n v="0.6024524548065699"/>
    <n v="100"/>
    <n v="1"/>
    <s v="---"/>
    <n v="-4010.26924206584"/>
    <n v="563.135932269363"/>
    <n v="4042.43676841491"/>
    <n v="-242.134668778687"/>
    <n v="4.451743214249868"/>
    <n v="321.001263490677"/>
    <n v="259.8233885207347"/>
  </r>
</pivotCacheRecords>
</file>

<file path=xl/pivotCache/pivotCacheRecords5.xml><?xml version="1.0" encoding="utf-8"?>
<pivotCacheRecords xmlns="http://schemas.openxmlformats.org/spreadsheetml/2006/main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413522101769524"/>
    <n v="0.0026105915866666"/>
    <n v="52.42563832807324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2.42563832807324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3.4256383280732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4.4256383280732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5.4256383280732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1696226522123429"/>
    <n v="0.00313270990399992"/>
    <n v="56.4256383280732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7.4256383280732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8.4256383280732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59.4256383280732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0.4256383280732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035471826548114"/>
    <n v="0.003759251884799904"/>
    <n v="61.4256383280732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2.4256383280732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3.4256383280732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4.42563832807321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5.42563832807321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442566191857737"/>
    <n v="0.004511102261759884"/>
    <n v="66.42563832807321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7.42563832807321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8.42563832807321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69.42563832807321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0.42563832807321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2931079430229284"/>
    <n v="0.005413322714111861"/>
    <n v="71.42563832807321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2.42563832807321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3.42563832807321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4.42563832807321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5.42563832807321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3517295316275141"/>
    <n v="0.006495987256934233"/>
    <n v="76.42563832807321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7.42563832807321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8.42563832807321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79.42563832807321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0.42563832807321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4220754379530169"/>
    <n v="0.007795184708321079"/>
    <n v="81.42563832807321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2.42563832807321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3.42563832807321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4.42563832807321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5.42563832807321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5064905255436202"/>
    <n v="0.009354221649985294"/>
    <n v="86.42563832807321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7.42563832807321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8.42563832807321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89.42563832807321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0.42563832807321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0.04340919264951015"/>
    <n v="-0.1222531233879495"/>
    <n v="-0.04079860106284355"/>
    <n v="0.006077886306523442"/>
    <n v="0.01122506597998235"/>
    <n v="91.42563832807321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8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5" hier="-1"/>
  </pageFields>
  <dataFields count="1">
    <dataField name="Sum of Active Power [MW]" fld="6" subtotal="sum" showDataAs="normal" baseField="0" baseItem="0"/>
  </dataFields>
  <chartFormats count="2">
    <chartFormat chart="1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0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B3:I17" firstHeaderRow="1" firstDataRow="3" firstDataCol="1" rowPageCount="1" colPageCount="2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4"/>
    <field x="5"/>
  </colFields>
  <colItems count="7">
    <i t="data" r="0" i="0">
      <x v="0"/>
      <x v="1"/>
    </i>
    <i t="default" r="0" i="0">
      <x v="0"/>
    </i>
    <i t="data" r="0" i="0">
      <x v="1"/>
      <x v="0"/>
    </i>
    <i t="default" r="0" i="0">
      <x v="1"/>
    </i>
    <i t="data" r="0" i="0">
      <x v="2"/>
      <x v="2"/>
    </i>
    <i t="default" r="0" i="0">
      <x v="2"/>
    </i>
    <i t="grand" r="0" i="0">
      <x v="0"/>
    </i>
  </colItems>
  <pageFields count="2">
    <pageField fld="1" hier="-1"/>
    <pageField fld="6" hier="-1"/>
  </pageFields>
  <dataFields count="1">
    <dataField name="Sum of  Active Power [MW]" fld="14" subtotal="sum" showDataAs="normal" baseField="0" baseItem="0"/>
  </dataFields>
  <chartFormats count="12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3" format="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3" format="1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3" format="11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1" format="12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1" format="13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1" format="14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  <chartFormat chart="7" format="18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0"/>
          </reference>
          <reference field="5" selected="0">
            <x v="1"/>
          </reference>
        </references>
      </pivotArea>
    </chartFormat>
    <chartFormat chart="7" format="19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1"/>
          </reference>
          <reference field="5" selected="0">
            <x v="0"/>
          </reference>
        </references>
      </pivotArea>
    </chartFormat>
    <chartFormat chart="7" format="20" series="1">
      <pivotArea type="data" dataOnly="1" outline="0" fieldPosition="0">
        <references count="3">
          <reference field="4294967294" selected="0">
            <x v="0"/>
          </reference>
          <reference field="4" selected="0">
            <x v="2"/>
          </reference>
          <reference field="5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3:B13" firstHeaderRow="1" firstDataRow="1" firstDataCol="1"/>
  <pivotFields count="16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4">
        <item t="data" sd="1" x="1"/>
        <item t="data" sd="1" x="0"/>
        <item t="data" sd="1" x="2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3">
    <field x="4"/>
    <field x="5"/>
    <field x="6"/>
  </rowFields>
  <rowItems count="10">
    <i t="data" r="0" i="0">
      <x v="0"/>
    </i>
    <i t="data" r="1" i="0">
      <x v="1"/>
    </i>
    <i t="data" r="2" i="0">
      <x v="0"/>
    </i>
    <i t="data" r="0" i="0">
      <x v="1"/>
    </i>
    <i t="data" r="1" i="0">
      <x v="0"/>
    </i>
    <i t="data" r="2" i="0">
      <x v="0"/>
    </i>
    <i t="data" r="0" i="0">
      <x v="2"/>
    </i>
    <i t="data" r="1" i="0">
      <x v="2"/>
    </i>
    <i t="data" r="2" i="0">
      <x v="1"/>
    </i>
    <i t="grand" r="0" i="0">
      <x v="0"/>
    </i>
  </rowItems>
  <colItems count="1">
    <i t="data" r="0" i="0"/>
  </colItems>
  <dataFields count="1">
    <dataField name="Sum of  Active Power [MW]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B10" firstHeaderRow="1" firstDataRow="1" firstDataCol="1" rowPageCount="2" colPageCount="1"/>
  <pivotFields count="10"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x="0"/>
        <item t="data" sd="1" x="1"/>
        <item t="data" sd="1" x="2"/>
        <item t="data" sd="1" x="3"/>
        <item t="data" sd="1" x="4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6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grand" r="0" i="0">
      <x v="0"/>
    </i>
  </rowItems>
  <colItems count="1">
    <i t="data" r="0" i="0"/>
  </colItems>
  <pageFields count="2">
    <pageField fld="0" item="0" hier="-1"/>
    <pageField fld="2" hier="-1"/>
  </pageFields>
  <dataFields count="1">
    <dataField name="Sum of Voltage [p.u]" fld="6" subtotal="sum" showDataAs="normal" baseField="1" baseItem="2"/>
  </dataFields>
  <chartFormats count="1">
    <chartFormat chart="2" format="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1" hier="-1"/>
    <pageField fld="3" hier="-1"/>
  </pageFields>
  <dataFields count="3">
    <dataField name="Max of Loading Percent [%]" fld="19" subtotal="max" showDataAs="normal" baseField="0" baseItem="0"/>
    <dataField name="Average of Loading Percent [%]" fld="19" subtotal="average" showDataAs="normal" baseField="0" baseItem="0"/>
    <dataField name="Min of Loading Percent [%]2" fld="19" subtotal="min" showDataAs="normal" baseField="0" baseItem="0"/>
  </dataFields>
  <chartFormats count="15">
    <chartFormat chart="2" format="12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3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0"/>
          </reference>
        </references>
      </pivotArea>
    </chartFormat>
    <chartFormat chart="2" format="15" series="1">
      <pivotArea type="data" dataOnly="1" outline="0" fieldPosition="0">
        <references count="3">
          <reference field="4294967294" selected="0">
            <x v="0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6" series="1">
      <pivotArea type="data" dataOnly="1" outline="0" fieldPosition="0">
        <references count="3">
          <reference field="4294967294" selected="0">
            <x v="1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7" series="1">
      <pivotArea type="data" dataOnly="1" outline="0" fieldPosition="0">
        <references count="3">
          <reference field="4294967294" selected="0">
            <x v="2"/>
          </reference>
          <reference field="1" selected="0">
            <x v="0"/>
          </reference>
          <reference field="3" selected="0">
            <x v="1"/>
          </reference>
        </references>
      </pivotArea>
    </chartFormat>
    <chartFormat chart="2" format="18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9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0"/>
          </reference>
        </references>
      </pivotArea>
    </chartFormat>
    <chartFormat chart="2" format="20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0"/>
          </reference>
        </references>
      </pivotArea>
    </chartFormat>
    <chartFormat chart="2" format="2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  <chartFormat chart="2" format="22" series="1">
      <pivotArea type="data" dataOnly="1" outline="0" fieldPosition="0">
        <references count="2">
          <reference field="4294967294" selected="0">
            <x v="1"/>
          </reference>
          <reference field="3" selected="0">
            <x v="1"/>
          </reference>
        </references>
      </pivotArea>
    </chartFormat>
    <chartFormat chart="2" format="23" series="1">
      <pivotArea type="data" dataOnly="1" outline="0" fieldPosition="0">
        <references count="2">
          <reference field="4294967294" selected="0">
            <x v="2"/>
          </reference>
          <reference field="3" selected="0">
            <x v="1"/>
          </reference>
        </references>
      </pivotArea>
    </chartFormat>
    <chartFormat chart="2" format="24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5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26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B16" firstHeaderRow="1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1" hier="-1"/>
    <pageField fld="3" hier="-1"/>
  </pageFields>
  <dataFields count="1">
    <dataField name="Sum of Losses [MW]" fld="17" subtotal="sum" showDataAs="normal" baseField="0" baseItem="0"/>
  </dataFields>
  <chartFormats count="1">
    <chartFormat chart="2" format="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18" firstHeaderRow="1" firstDataRow="3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2">
    <field x="7"/>
    <field x="8"/>
  </colFields>
  <colItems count="3">
    <i t="data" r="0" i="0">
      <x v="0"/>
      <x v="0"/>
    </i>
    <i t="default" r="0" i="0">
      <x v="0"/>
    </i>
    <i t="grand" r="0" i="0">
      <x v="0"/>
    </i>
  </colItems>
  <pageFields count="1">
    <pageField fld="1" hier="-1"/>
  </pageFields>
  <dataFields count="1">
    <dataField name="Sum of Losses [MW]" fld="18" subtotal="sum" showDataAs="normal" baseField="0" baseItem="0"/>
  </dataFields>
  <chartFormats count="1">
    <chartFormat chart="2" format="2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J19" firstHeaderRow="1" firstDataRow="4" firstDataCol="1" rowPageCount="1" colPageCount="1"/>
  <pivotFields count="21"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Fields count="3">
    <field x="-2"/>
    <field x="7"/>
    <field x="8"/>
  </colFields>
  <colItems count="9">
    <i t="data" r="0" i="0">
      <x v="0"/>
      <x v="0"/>
      <x v="0"/>
    </i>
    <i t="default" r="1" i="0">
      <x v="0"/>
    </i>
    <i t="data" r="0" i="1">
      <x v="1"/>
      <x v="0"/>
      <x v="0"/>
    </i>
    <i t="default" r="1" i="1">
      <x v="0"/>
    </i>
    <i t="data" r="0" i="2">
      <x v="2"/>
      <x v="0"/>
      <x v="0"/>
    </i>
    <i t="default" r="1" i="2">
      <x v="0"/>
    </i>
    <i t="grand" r="0" i="0">
      <x v="0"/>
    </i>
    <i t="grand" r="0" i="1">
      <x v="0"/>
    </i>
    <i t="grand" r="0" i="2">
      <x v="0"/>
    </i>
  </colItems>
  <pageFields count="1">
    <pageField fld="1" hier="-1"/>
  </pageFields>
  <dataFields count="3">
    <dataField name="Max of Loading Percent [%]" fld="20" subtotal="max" showDataAs="normal" baseField="0" baseItem="0"/>
    <dataField name="Average of Loading Percent [%]2" fld="20" subtotal="average" showDataAs="normal" baseField="0" baseItem="3"/>
    <dataField name="Min of Loading Percent [%]3" fld="20" subtotal="min" showDataAs="normal" baseField="0" baseItem="0"/>
  </dataFields>
  <chartFormats count="3">
    <chartFormat chart="2" format="6" series="1">
      <pivotArea type="data" dataOnly="1" outline="0" fieldPosition="0">
        <references count="3">
          <reference field="4294967294" selected="0">
            <x v="0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7" series="1">
      <pivotArea type="data" dataOnly="1" outline="0" fieldPosition="0">
        <references count="3">
          <reference field="4294967294" selected="0">
            <x v="1"/>
          </reference>
          <reference field="7" selected="0">
            <x v="0"/>
          </reference>
          <reference field="8" selected="0">
            <x v="0"/>
          </reference>
        </references>
      </pivotArea>
    </chartFormat>
    <chartFormat chart="2" format="8" series="1">
      <pivotArea type="data" dataOnly="1" outline="0" fieldPosition="0">
        <references count="3">
          <reference field="4294967294" selected="0">
            <x v="2"/>
          </reference>
          <reference field="7" selected="0">
            <x v="0"/>
          </reference>
          <reference field="8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_table" displayName="demand_table" ref="C4:I22" headerRowCount="1" insertRow="1" totalsRowShown="0" headerRowDxfId="1">
  <autoFilter ref="C4:I5"/>
  <tableColumns count="7">
    <tableColumn id="8" name="step"/>
    <tableColumn id="2" name="index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_table" displayName="generation_table" ref="C4:R5" headerRowCount="1" insertRow="1" totalsRowShown="0" headerRowDxfId="0">
  <autoFilter ref="C4:R5"/>
  <tableColumns count="16">
    <tableColumn id="16" name="Column1"/>
    <tableColumn id="1" name="Column2"/>
    <tableColumn id="2" name="Column3"/>
    <tableColumn id="14" name="Column4"/>
    <tableColumn id="15" name="Column5"/>
    <tableColumn id="7" name="Column6"/>
    <tableColumn id="3" name="Column7"/>
    <tableColumn id="4" name="Column8"/>
    <tableColumn id="5" name="Column9"/>
    <tableColumn id="6" name="Column10"/>
    <tableColumn id="8" name="Column11"/>
    <tableColumn id="9" name="Column12"/>
    <tableColumn id="10" name="Column13"/>
    <tableColumn id="11" name="Column14"/>
    <tableColumn id="12" name="Column15"/>
    <tableColumn id="13" name="Column16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_table" displayName="bus_table" ref="C4:L19" headerRowCount="1" insertRow="1" totalsRowShown="0">
  <autoFilter ref="C4:L5"/>
  <tableColumns count="10">
    <tableColumn id="10" name="step"/>
    <tableColumn id="1" name="index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_table" displayName="lines_table" ref="C4:U19" headerRowCount="1" insertRow="1" totalsRowShown="0">
  <autoFilter ref="C4:U5"/>
  <tableColumns count="19">
    <tableColumn id="19" name="step"/>
    <tableColumn id="1" name="index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_table" displayName="trafos_table" ref="C4:W6" headerRowCount="1" insertRow="1" totalsRowShown="0">
  <autoFilter ref="C4:W5"/>
  <tableColumns count="21">
    <tableColumn id="20" name="step"/>
    <tableColumn id="1" name="index" dataDxfId="41" totalsRowDxfId="40"/>
    <tableColumn id="14" name="zone" dataDxfId="39" totalsRowDxfId="38"/>
    <tableColumn id="3" name="name" dataDxfId="37" totalsRowDxfId="36"/>
    <tableColumn id="4" name="std_type" dataDxfId="35" totalsRowDxfId="34"/>
    <tableColumn id="5" name="hv_bus" dataDxfId="33" totalsRowDxfId="32"/>
    <tableColumn id="6" name="lv_bus" dataDxfId="31" totalsRowDxfId="30"/>
    <tableColumn id="8" name="vn_hv_kv" dataDxfId="29" totalsRowDxfId="28"/>
    <tableColumn id="10" name="vn_lv_kv" dataDxfId="27" totalsRowDxfId="26"/>
    <tableColumn id="11" name="pfe_kw" dataDxfId="25" totalsRowDxfId="24"/>
    <tableColumn id="12" name="shift_degree" dataDxfId="23" totalsRowDxfId="22"/>
    <tableColumn id="13" name="tap_pos" dataDxfId="21" totalsRowDxfId="20"/>
    <tableColumn id="2" name="parallel" dataDxfId="19" totalsRowDxfId="18"/>
    <tableColumn id="7" name="in_service" dataDxfId="17" totalsRowDxfId="16"/>
    <tableColumn id="15" name="p_hv_mw" dataDxfId="15" totalsRowDxfId="14"/>
    <tableColumn id="16" name="q_hv_mvar" dataDxfId="13" totalsRowDxfId="12"/>
    <tableColumn id="17" name="p_lv_mw" dataDxfId="11" totalsRowDxfId="10"/>
    <tableColumn id="18" name="q_lv_mvar" dataDxfId="9" totalsRowDxfId="8"/>
    <tableColumn id="23" name="pl_mw" dataDxfId="7" totalsRowDxfId="6"/>
    <tableColumn id="9" name="ql_mvar" dataDxfId="5" totalsRowDxfId="4"/>
    <tableColumn id="19" name="loading_percent" dataDxfId="3" totalsRowDxfId="2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8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topLeftCell="A4" workbookViewId="0">
      <selection activeCell="G20" sqref="G20"/>
    </sheetView>
  </sheetViews>
  <sheetFormatPr baseColWidth="8" defaultRowHeight="14.4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zoomScaleNormal="100" workbookViewId="0">
      <selection activeCell="AA55" sqref="AA55"/>
    </sheetView>
  </sheetViews>
  <sheetFormatPr baseColWidth="8" defaultRowHeight="14.4"/>
  <cols>
    <col width="1.5546875" customWidth="1" min="1" max="1"/>
    <col width="12" customWidth="1" min="2" max="2"/>
  </cols>
  <sheetData>
    <row r="1" ht="6.75" customHeight="1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J22"/>
  <sheetViews>
    <sheetView workbookViewId="0">
      <selection activeCell="I15" sqref="I15"/>
    </sheetView>
  </sheetViews>
  <sheetFormatPr baseColWidth="8" defaultRowHeight="14.4"/>
  <cols>
    <col width="12.77734375" customWidth="1" min="2" max="2"/>
    <col width="9" bestFit="1" customWidth="1" min="3" max="3"/>
    <col width="10" bestFit="1" customWidth="1" min="4" max="4"/>
    <col width="9.44140625" bestFit="1" customWidth="1" min="5" max="5"/>
    <col width="9.109375" bestFit="1" customWidth="1" min="6" max="6"/>
    <col width="13.77734375" bestFit="1" customWidth="1" min="7" max="7"/>
    <col width="12" bestFit="1" customWidth="1" min="8" max="8"/>
    <col width="14" bestFit="1" customWidth="1" min="9" max="9"/>
    <col width="15.6640625" customWidth="1" min="10" max="10"/>
  </cols>
  <sheetData>
    <row r="2" ht="21" customHeight="1">
      <c r="C2" s="14" t="inlineStr">
        <is>
          <t>Demand</t>
        </is>
      </c>
    </row>
    <row r="3" ht="29.4" customHeight="1" thickBot="1">
      <c r="B3" s="12" t="inlineStr">
        <is>
          <t>Parameter</t>
        </is>
      </c>
      <c r="C3" s="15" t="inlineStr">
        <is>
          <t>Time Step</t>
        </is>
      </c>
      <c r="D3" s="15" t="inlineStr">
        <is>
          <t>Load Index</t>
        </is>
      </c>
      <c r="E3" s="15" t="inlineStr">
        <is>
          <t>Zone</t>
        </is>
      </c>
      <c r="F3" s="15" t="inlineStr">
        <is>
          <t>Bus Index</t>
        </is>
      </c>
      <c r="G3" s="15" t="inlineStr">
        <is>
          <t>In service</t>
        </is>
      </c>
      <c r="H3" s="15" t="inlineStr">
        <is>
          <t>Active Power [MW]</t>
        </is>
      </c>
      <c r="I3" s="15" t="inlineStr">
        <is>
          <t>Reactive Power [MVAr]</t>
        </is>
      </c>
      <c r="J3" s="1" t="n"/>
    </row>
    <row r="4" ht="29.4" customHeight="1" thickBot="1">
      <c r="B4" s="12" t="inlineStr">
        <is>
          <t>Pandapower Command</t>
        </is>
      </c>
      <c r="C4" s="4" t="inlineStr">
        <is>
          <t>step</t>
        </is>
      </c>
      <c r="D4" s="16" t="inlineStr">
        <is>
          <t>index</t>
        </is>
      </c>
      <c r="E4" s="16" t="inlineStr">
        <is>
          <t>zone</t>
        </is>
      </c>
      <c r="F4" s="16" t="inlineStr">
        <is>
          <t>bus</t>
        </is>
      </c>
      <c r="G4" s="16" t="inlineStr">
        <is>
          <t>in_service</t>
        </is>
      </c>
      <c r="H4" s="16" t="inlineStr">
        <is>
          <t>p_mw</t>
        </is>
      </c>
      <c r="I4" s="16" t="inlineStr">
        <is>
          <t>q_mvar</t>
        </is>
      </c>
      <c r="J4" s="1" t="n"/>
    </row>
    <row r="5">
      <c r="B5" s="12" t="n"/>
      <c r="C5" s="5" t="n">
        <v>0</v>
      </c>
      <c r="D5" t="n">
        <v>0</v>
      </c>
      <c r="E5" t="inlineStr">
        <is>
          <t>CIGRE_MV</t>
        </is>
      </c>
      <c r="F5" t="n">
        <v>1</v>
      </c>
      <c r="G5" t="n">
        <v>1</v>
      </c>
      <c r="H5" t="n">
        <v>14.994</v>
      </c>
      <c r="I5" t="n">
        <v>3.044661557546264</v>
      </c>
    </row>
    <row r="6">
      <c r="C6" s="6" t="n">
        <v>0</v>
      </c>
      <c r="D6" t="n">
        <v>1</v>
      </c>
      <c r="E6" t="inlineStr">
        <is>
          <t>CIGRE_MV</t>
        </is>
      </c>
      <c r="F6" t="n">
        <v>3</v>
      </c>
      <c r="G6" t="n">
        <v>1</v>
      </c>
      <c r="H6" t="n">
        <v>0.27645</v>
      </c>
      <c r="I6" t="n">
        <v>0.06928490095251642</v>
      </c>
    </row>
    <row r="7">
      <c r="C7" t="n">
        <v>0</v>
      </c>
      <c r="D7" t="n">
        <v>2</v>
      </c>
      <c r="E7" t="inlineStr">
        <is>
          <t>CIGRE_MV</t>
        </is>
      </c>
      <c r="F7" t="n">
        <v>4</v>
      </c>
      <c r="G7" t="n">
        <v>1</v>
      </c>
      <c r="H7" t="n">
        <v>0.43165</v>
      </c>
      <c r="I7" t="n">
        <v>0.1081816874521748</v>
      </c>
    </row>
    <row r="8">
      <c r="C8" t="n">
        <v>0</v>
      </c>
      <c r="D8" t="n">
        <v>3</v>
      </c>
      <c r="E8" t="inlineStr">
        <is>
          <t>CIGRE_MV</t>
        </is>
      </c>
      <c r="F8" t="n">
        <v>5</v>
      </c>
      <c r="G8" t="n">
        <v>1</v>
      </c>
      <c r="H8" t="n">
        <v>0.7275</v>
      </c>
      <c r="I8" t="n">
        <v>0.182328686717148</v>
      </c>
    </row>
    <row r="9">
      <c r="C9" t="n">
        <v>0</v>
      </c>
      <c r="D9" t="n">
        <v>4</v>
      </c>
      <c r="E9" t="inlineStr">
        <is>
          <t>CIGRE_MV</t>
        </is>
      </c>
      <c r="F9" t="n">
        <v>6</v>
      </c>
      <c r="G9" t="n">
        <v>1</v>
      </c>
      <c r="H9" t="n">
        <v>0.5480499999999999</v>
      </c>
      <c r="I9" t="n">
        <v>0.1373542773269184</v>
      </c>
    </row>
    <row r="10">
      <c r="C10" t="n">
        <v>0</v>
      </c>
      <c r="D10" t="n">
        <v>5</v>
      </c>
      <c r="E10" t="inlineStr">
        <is>
          <t>CIGRE_MV</t>
        </is>
      </c>
      <c r="F10" t="n">
        <v>8</v>
      </c>
      <c r="G10" t="n">
        <v>1</v>
      </c>
      <c r="H10" t="n">
        <v>0.58685</v>
      </c>
      <c r="I10" t="n">
        <v>0.147078473951833</v>
      </c>
    </row>
    <row r="11">
      <c r="C11" t="n">
        <v>0</v>
      </c>
      <c r="D11" t="n">
        <v>6</v>
      </c>
      <c r="E11" t="inlineStr">
        <is>
          <t>CIGRE_MV</t>
        </is>
      </c>
      <c r="F11" t="n">
        <v>10</v>
      </c>
      <c r="G11" t="n">
        <v>1</v>
      </c>
      <c r="H11" t="n">
        <v>0.4753</v>
      </c>
      <c r="I11" t="n">
        <v>0.1191214086552034</v>
      </c>
    </row>
    <row r="12">
      <c r="C12" t="n">
        <v>0</v>
      </c>
      <c r="D12" t="n">
        <v>7</v>
      </c>
      <c r="E12" t="inlineStr">
        <is>
          <t>CIGRE_MV</t>
        </is>
      </c>
      <c r="F12" t="n">
        <v>11</v>
      </c>
      <c r="G12" t="n">
        <v>1</v>
      </c>
      <c r="H12" t="n">
        <v>0.3298</v>
      </c>
      <c r="I12" t="n">
        <v>0.08265567131177387</v>
      </c>
    </row>
    <row r="13">
      <c r="C13" t="n">
        <v>0</v>
      </c>
      <c r="D13" t="n">
        <v>8</v>
      </c>
      <c r="E13" t="inlineStr">
        <is>
          <t>CIGRE_MV</t>
        </is>
      </c>
      <c r="F13" t="n">
        <v>12</v>
      </c>
      <c r="G13" t="n">
        <v>1</v>
      </c>
      <c r="H13" t="n">
        <v>14.994</v>
      </c>
      <c r="I13" t="n">
        <v>3.044661557546264</v>
      </c>
    </row>
    <row r="14">
      <c r="C14" t="n">
        <v>0</v>
      </c>
      <c r="D14" t="n">
        <v>9</v>
      </c>
      <c r="E14" t="inlineStr">
        <is>
          <t>CIGRE_MV</t>
        </is>
      </c>
      <c r="F14" t="n">
        <v>14</v>
      </c>
      <c r="G14" t="n">
        <v>1</v>
      </c>
      <c r="H14" t="n">
        <v>0.20855</v>
      </c>
      <c r="I14" t="n">
        <v>0.05226755685891588</v>
      </c>
    </row>
    <row r="15">
      <c r="C15" t="n">
        <v>0</v>
      </c>
      <c r="D15" t="n">
        <v>10</v>
      </c>
      <c r="E15" t="inlineStr">
        <is>
          <t>CIGRE_MV</t>
        </is>
      </c>
      <c r="F15" t="n">
        <v>1</v>
      </c>
      <c r="G15" t="n">
        <v>1</v>
      </c>
      <c r="H15" t="n">
        <v>4.845</v>
      </c>
      <c r="I15" t="n">
        <v>1.592474489591592</v>
      </c>
    </row>
    <row r="16">
      <c r="C16" t="n">
        <v>0</v>
      </c>
      <c r="D16" t="n">
        <v>11</v>
      </c>
      <c r="E16" t="inlineStr">
        <is>
          <t>CIGRE_MV</t>
        </is>
      </c>
      <c r="F16" t="n">
        <v>3</v>
      </c>
      <c r="G16" t="n">
        <v>1</v>
      </c>
      <c r="H16" t="n">
        <v>0.22525</v>
      </c>
      <c r="I16" t="n">
        <v>0.1395974122252988</v>
      </c>
    </row>
    <row r="17">
      <c r="C17" t="n">
        <v>0</v>
      </c>
      <c r="D17" t="n">
        <v>12</v>
      </c>
      <c r="E17" t="inlineStr">
        <is>
          <t>CIGRE_MV</t>
        </is>
      </c>
      <c r="F17" t="n">
        <v>7</v>
      </c>
      <c r="G17" t="n">
        <v>1</v>
      </c>
      <c r="H17" t="n">
        <v>0.0765</v>
      </c>
      <c r="I17" t="n">
        <v>0.04741044188783732</v>
      </c>
    </row>
    <row r="18">
      <c r="C18" t="n">
        <v>0</v>
      </c>
      <c r="D18" t="n">
        <v>13</v>
      </c>
      <c r="E18" t="inlineStr">
        <is>
          <t>CIGRE_MV</t>
        </is>
      </c>
      <c r="F18" t="n">
        <v>9</v>
      </c>
      <c r="G18" t="n">
        <v>1</v>
      </c>
      <c r="H18" t="n">
        <v>0.57375</v>
      </c>
      <c r="I18" t="n">
        <v>0.3555783141587801</v>
      </c>
    </row>
    <row r="19">
      <c r="C19" t="n">
        <v>0</v>
      </c>
      <c r="D19" t="n">
        <v>14</v>
      </c>
      <c r="E19" t="inlineStr">
        <is>
          <t>CIGRE_MV</t>
        </is>
      </c>
      <c r="F19" t="n">
        <v>10</v>
      </c>
      <c r="G19" t="n">
        <v>1</v>
      </c>
      <c r="H19" t="n">
        <v>0.068</v>
      </c>
      <c r="I19" t="n">
        <v>0.04214261501141095</v>
      </c>
    </row>
    <row r="20">
      <c r="C20" t="n">
        <v>0</v>
      </c>
      <c r="D20" t="n">
        <v>15</v>
      </c>
      <c r="E20" t="inlineStr">
        <is>
          <t>CIGRE_MV</t>
        </is>
      </c>
      <c r="F20" t="n">
        <v>12</v>
      </c>
      <c r="G20" t="n">
        <v>1</v>
      </c>
      <c r="H20" t="n">
        <v>5.016</v>
      </c>
      <c r="I20" t="n">
        <v>1.648679471577178</v>
      </c>
    </row>
    <row r="21">
      <c r="C21" t="n">
        <v>0</v>
      </c>
      <c r="D21" t="n">
        <v>16</v>
      </c>
      <c r="E21" t="inlineStr">
        <is>
          <t>CIGRE_MV</t>
        </is>
      </c>
      <c r="F21" t="n">
        <v>13</v>
      </c>
      <c r="G21" t="n">
        <v>1</v>
      </c>
      <c r="H21" t="n">
        <v>0.034</v>
      </c>
      <c r="I21" t="n">
        <v>0.02107130750570547</v>
      </c>
    </row>
    <row r="22">
      <c r="C22" t="n">
        <v>0</v>
      </c>
      <c r="D22" t="n">
        <v>17</v>
      </c>
      <c r="E22" t="inlineStr">
        <is>
          <t>CIGRE_MV</t>
        </is>
      </c>
      <c r="F22" t="n">
        <v>14</v>
      </c>
      <c r="G22" t="n">
        <v>1</v>
      </c>
      <c r="H22" t="n">
        <v>0.3315</v>
      </c>
      <c r="I22" t="n">
        <v>0.2054452481806284</v>
      </c>
    </row>
  </sheetData>
  <mergeCells count="1">
    <mergeCell ref="C2:J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R6"/>
  <sheetViews>
    <sheetView topLeftCell="C1" workbookViewId="0">
      <selection activeCell="J13" sqref="J13"/>
    </sheetView>
  </sheetViews>
  <sheetFormatPr baseColWidth="8" defaultRowHeight="14.4"/>
  <cols>
    <col width="6" customWidth="1" min="1" max="1"/>
    <col width="11.6640625" bestFit="1" customWidth="1" min="2" max="2"/>
    <col width="10.5546875" bestFit="1" customWidth="1" min="4" max="4"/>
    <col width="10" bestFit="1" customWidth="1" min="5" max="5"/>
    <col width="10" customWidth="1" min="6" max="7"/>
    <col width="11.44140625" customWidth="1" min="8" max="8"/>
    <col width="10.88671875" bestFit="1" customWidth="1" min="9" max="9"/>
    <col width="12.44140625" bestFit="1" customWidth="1" min="10" max="10"/>
    <col width="12" bestFit="1" customWidth="1" min="11" max="11"/>
    <col width="12.44140625" bestFit="1" customWidth="1" min="12" max="12"/>
    <col width="15.33203125" customWidth="1" min="13" max="13"/>
    <col width="14.109375" customWidth="1" min="14" max="14"/>
    <col width="14.88671875" customWidth="1" min="15" max="16"/>
    <col width="13.33203125" bestFit="1" customWidth="1" min="17" max="17"/>
    <col width="13.109375" bestFit="1" customWidth="1" min="18" max="18"/>
  </cols>
  <sheetData>
    <row r="2" ht="21" customHeight="1">
      <c r="C2" s="14" t="inlineStr">
        <is>
          <t>Generators</t>
        </is>
      </c>
    </row>
    <row r="3" ht="43.8" customHeight="1" thickBot="1">
      <c r="B3" s="12" t="inlineStr">
        <is>
          <t>Parameter</t>
        </is>
      </c>
      <c r="C3" s="4" t="inlineStr">
        <is>
          <t>Step</t>
        </is>
      </c>
      <c r="D3" s="7" t="inlineStr">
        <is>
          <t>Zone</t>
        </is>
      </c>
      <c r="E3" s="7" t="inlineStr">
        <is>
          <t>Bus Index</t>
        </is>
      </c>
      <c r="F3" s="7" t="inlineStr">
        <is>
          <t>Generator Index</t>
        </is>
      </c>
      <c r="G3" s="7" t="inlineStr">
        <is>
          <t>Fuel</t>
        </is>
      </c>
      <c r="H3" s="7" t="inlineStr">
        <is>
          <t>Technology</t>
        </is>
      </c>
      <c r="I3" s="7" t="inlineStr">
        <is>
          <t>Voltage Level [kV]</t>
        </is>
      </c>
      <c r="J3" s="7" t="inlineStr">
        <is>
          <t>Name</t>
        </is>
      </c>
      <c r="K3" s="7" t="inlineStr">
        <is>
          <t>In Service</t>
        </is>
      </c>
      <c r="L3" s="7" t="inlineStr">
        <is>
          <t>Voltage [p.u]</t>
        </is>
      </c>
      <c r="M3" s="7" t="inlineStr">
        <is>
          <t>Maximum Active Power [MW]</t>
        </is>
      </c>
      <c r="N3" s="7" t="inlineStr">
        <is>
          <t>Maximum Reactive Power [MVAr]</t>
        </is>
      </c>
      <c r="O3" s="7" t="inlineStr">
        <is>
          <t>Minimum Active Power [MW]</t>
        </is>
      </c>
      <c r="P3" s="7" t="inlineStr">
        <is>
          <t>Minimum Reactive Power [MVAr]</t>
        </is>
      </c>
      <c r="Q3" s="7" t="inlineStr">
        <is>
          <t xml:space="preserve"> Active Power [MW]</t>
        </is>
      </c>
      <c r="R3" s="7" t="inlineStr">
        <is>
          <t xml:space="preserve"> Reactive Power [MVAr]</t>
        </is>
      </c>
    </row>
    <row r="4" ht="45.75" customFormat="1" customHeight="1" s="16">
      <c r="B4" s="7" t="inlineStr">
        <is>
          <t>Pandapower Command</t>
        </is>
      </c>
      <c r="C4" s="17" t="inlineStr">
        <is>
          <t>Column1</t>
        </is>
      </c>
      <c r="D4" s="16" t="inlineStr">
        <is>
          <t>Column2</t>
        </is>
      </c>
      <c r="E4" s="16" t="inlineStr">
        <is>
          <t>Column3</t>
        </is>
      </c>
      <c r="F4" s="16" t="inlineStr">
        <is>
          <t>Column4</t>
        </is>
      </c>
      <c r="G4" s="16" t="inlineStr">
        <is>
          <t>Column5</t>
        </is>
      </c>
      <c r="H4" s="16" t="inlineStr">
        <is>
          <t>Column6</t>
        </is>
      </c>
      <c r="I4" s="16" t="inlineStr">
        <is>
          <t>Column7</t>
        </is>
      </c>
      <c r="J4" s="16" t="inlineStr">
        <is>
          <t>Column8</t>
        </is>
      </c>
      <c r="K4" s="16" t="inlineStr">
        <is>
          <t>Column9</t>
        </is>
      </c>
      <c r="L4" s="16" t="inlineStr">
        <is>
          <t>Column10</t>
        </is>
      </c>
      <c r="M4" s="16" t="inlineStr">
        <is>
          <t>Column11</t>
        </is>
      </c>
      <c r="N4" s="16" t="inlineStr">
        <is>
          <t>Column12</t>
        </is>
      </c>
      <c r="O4" s="16" t="inlineStr">
        <is>
          <t>Column13</t>
        </is>
      </c>
      <c r="P4" s="16" t="inlineStr">
        <is>
          <t>Column14</t>
        </is>
      </c>
      <c r="Q4" s="16" t="inlineStr">
        <is>
          <t>Column15</t>
        </is>
      </c>
      <c r="R4" s="16" t="inlineStr">
        <is>
          <t>Column16</t>
        </is>
      </c>
    </row>
    <row r="5">
      <c r="B5" s="12" t="n"/>
      <c r="C5" s="5" t="n"/>
    </row>
    <row r="6">
      <c r="C6" s="6" t="n"/>
    </row>
  </sheetData>
  <mergeCells count="1">
    <mergeCell ref="C2:R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L19"/>
  <sheetViews>
    <sheetView workbookViewId="0">
      <selection activeCell="H12" sqref="H12"/>
    </sheetView>
  </sheetViews>
  <sheetFormatPr baseColWidth="8" defaultRowHeight="14.4"/>
  <cols>
    <col width="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21875" bestFit="1" customWidth="1" min="7" max="7"/>
    <col width="13.77734375" bestFit="1" customWidth="1" min="8" max="8"/>
    <col width="11.33203125" bestFit="1" customWidth="1" min="9" max="9"/>
    <col width="14.21875" bestFit="1" customWidth="1" min="10" max="10"/>
    <col width="12" bestFit="1" customWidth="1" min="11" max="11"/>
    <col width="14" bestFit="1" customWidth="1" min="12" max="12"/>
  </cols>
  <sheetData>
    <row r="1" ht="15.6" customHeight="1"/>
    <row r="2" ht="21" customHeight="1">
      <c r="C2" s="14" t="inlineStr">
        <is>
          <t>Buses Parameters</t>
        </is>
      </c>
    </row>
    <row r="3" ht="29.4" customHeight="1" thickBot="1">
      <c r="B3" s="12" t="inlineStr">
        <is>
          <t>Parameter</t>
        </is>
      </c>
      <c r="C3" s="15" t="inlineStr">
        <is>
          <t>Time Step</t>
        </is>
      </c>
      <c r="D3" s="15" t="inlineStr">
        <is>
          <t>Bus Index</t>
        </is>
      </c>
      <c r="E3" s="15" t="inlineStr">
        <is>
          <t>Zone</t>
        </is>
      </c>
      <c r="F3" s="15" t="inlineStr">
        <is>
          <t>Name</t>
        </is>
      </c>
      <c r="G3" s="15" t="inlineStr">
        <is>
          <t>Voltage Level [kV]</t>
        </is>
      </c>
      <c r="H3" s="15" t="inlineStr">
        <is>
          <t>In Service</t>
        </is>
      </c>
      <c r="I3" s="15" t="inlineStr">
        <is>
          <t>Voltage [p.u]</t>
        </is>
      </c>
      <c r="J3" s="15" t="inlineStr">
        <is>
          <t>Voltage Phase [degree]</t>
        </is>
      </c>
      <c r="K3" s="15" t="inlineStr">
        <is>
          <t>Active Power [MW]</t>
        </is>
      </c>
      <c r="L3" s="15" t="inlineStr">
        <is>
          <t>Reactive Power [MVAr]</t>
        </is>
      </c>
    </row>
    <row r="4" ht="28.95" customFormat="1" customHeight="1" s="2">
      <c r="B4" s="12" t="inlineStr">
        <is>
          <t>Pandapower Command</t>
        </is>
      </c>
      <c r="C4" s="16" t="inlineStr">
        <is>
          <t>step</t>
        </is>
      </c>
      <c r="D4" s="16" t="inlineStr">
        <is>
          <t>index</t>
        </is>
      </c>
      <c r="E4" s="16" t="inlineStr">
        <is>
          <t>zone</t>
        </is>
      </c>
      <c r="F4" s="16" t="inlineStr">
        <is>
          <t>name</t>
        </is>
      </c>
      <c r="G4" s="16" t="inlineStr">
        <is>
          <t>vn_kv</t>
        </is>
      </c>
      <c r="H4" s="16" t="inlineStr">
        <is>
          <t>in_service</t>
        </is>
      </c>
      <c r="I4" s="16" t="inlineStr">
        <is>
          <t>vm_pu</t>
        </is>
      </c>
      <c r="J4" s="16" t="inlineStr">
        <is>
          <t>va_degree</t>
        </is>
      </c>
      <c r="K4" s="16" t="inlineStr">
        <is>
          <t>p_mw</t>
        </is>
      </c>
      <c r="L4" s="16" t="inlineStr">
        <is>
          <t>q_mvar</t>
        </is>
      </c>
    </row>
    <row r="5">
      <c r="B5" s="12" t="n"/>
      <c r="C5" s="5" t="n">
        <v>0</v>
      </c>
      <c r="D5" t="n">
        <v>0</v>
      </c>
      <c r="E5" t="inlineStr">
        <is>
          <t>CIGRE_MV</t>
        </is>
      </c>
      <c r="F5" t="inlineStr">
        <is>
          <t>Bus 0</t>
        </is>
      </c>
      <c r="G5" t="n">
        <v>110</v>
      </c>
      <c r="H5" t="n">
        <v>1</v>
      </c>
      <c r="I5" t="n">
        <v>1.03</v>
      </c>
      <c r="J5" t="n">
        <v>0</v>
      </c>
      <c r="K5" t="n">
        <v>-43.19650163906391</v>
      </c>
      <c r="L5" t="n">
        <v>-15.69616874999422</v>
      </c>
    </row>
    <row r="6">
      <c r="C6" s="6" t="n">
        <v>0</v>
      </c>
      <c r="D6" t="n">
        <v>1</v>
      </c>
      <c r="E6" t="inlineStr">
        <is>
          <t>CIGRE_MV</t>
        </is>
      </c>
      <c r="F6" t="inlineStr">
        <is>
          <t>Bus 1</t>
        </is>
      </c>
      <c r="G6" t="n">
        <v>20</v>
      </c>
      <c r="H6" t="n">
        <v>1</v>
      </c>
      <c r="I6" t="n">
        <v>0.9941334410267364</v>
      </c>
      <c r="J6" t="n">
        <v>-6.045087174190866</v>
      </c>
      <c r="K6" t="n">
        <v>19.839</v>
      </c>
      <c r="L6" t="n">
        <v>4.637136047137856</v>
      </c>
    </row>
    <row r="7">
      <c r="C7" t="n">
        <v>0</v>
      </c>
      <c r="D7" t="n">
        <v>2</v>
      </c>
      <c r="E7" t="inlineStr">
        <is>
          <t>CIGRE_MV</t>
        </is>
      </c>
      <c r="F7" t="inlineStr">
        <is>
          <t>Bus 2</t>
        </is>
      </c>
      <c r="G7" t="n">
        <v>20</v>
      </c>
      <c r="H7" t="n">
        <v>1</v>
      </c>
      <c r="I7" t="n">
        <v>0.9778044705312423</v>
      </c>
      <c r="J7" t="n">
        <v>-6.573026677789051</v>
      </c>
      <c r="K7" t="n">
        <v>0</v>
      </c>
      <c r="L7" t="n">
        <v>0</v>
      </c>
    </row>
    <row r="8">
      <c r="C8" t="n">
        <v>0</v>
      </c>
      <c r="D8" t="n">
        <v>3</v>
      </c>
      <c r="E8" t="inlineStr">
        <is>
          <t>CIGRE_MV</t>
        </is>
      </c>
      <c r="F8" t="inlineStr">
        <is>
          <t>Bus 3</t>
        </is>
      </c>
      <c r="G8" t="n">
        <v>20</v>
      </c>
      <c r="H8" t="n">
        <v>1</v>
      </c>
      <c r="I8" t="n">
        <v>0.9518477090980301</v>
      </c>
      <c r="J8" t="n">
        <v>-7.414876966104173</v>
      </c>
      <c r="K8" t="n">
        <v>0.4817</v>
      </c>
      <c r="L8" t="n">
        <v>0.2088823131778152</v>
      </c>
    </row>
    <row r="9">
      <c r="C9" t="n">
        <v>0</v>
      </c>
      <c r="D9" t="n">
        <v>4</v>
      </c>
      <c r="E9" t="inlineStr">
        <is>
          <t>CIGRE_MV</t>
        </is>
      </c>
      <c r="F9" t="inlineStr">
        <is>
          <t>Bus 4</t>
        </is>
      </c>
      <c r="G9" t="n">
        <v>20</v>
      </c>
      <c r="H9" t="n">
        <v>1</v>
      </c>
      <c r="I9" t="n">
        <v>0.9500936812662581</v>
      </c>
      <c r="J9" t="n">
        <v>-7.508922064668591</v>
      </c>
      <c r="K9" t="n">
        <v>0.4116500000000016</v>
      </c>
      <c r="L9" t="n">
        <v>0.1081816874521744</v>
      </c>
    </row>
    <row r="10">
      <c r="C10" t="n">
        <v>0</v>
      </c>
      <c r="D10" t="n">
        <v>5</v>
      </c>
      <c r="E10" t="inlineStr">
        <is>
          <t>CIGRE_MV</t>
        </is>
      </c>
      <c r="F10" t="inlineStr">
        <is>
          <t>Bus 5</t>
        </is>
      </c>
      <c r="G10" t="n">
        <v>20</v>
      </c>
      <c r="H10" t="n">
        <v>1</v>
      </c>
      <c r="I10" t="n">
        <v>0.9488926605302734</v>
      </c>
      <c r="J10" t="n">
        <v>-7.573677996309566</v>
      </c>
      <c r="K10" t="n">
        <v>0.697499999999998</v>
      </c>
      <c r="L10" t="n">
        <v>0.1823286867171481</v>
      </c>
    </row>
    <row r="11">
      <c r="C11" t="n">
        <v>0</v>
      </c>
      <c r="D11" t="n">
        <v>6</v>
      </c>
      <c r="E11" t="inlineStr">
        <is>
          <t>CIGRE_MV</t>
        </is>
      </c>
      <c r="F11" t="inlineStr">
        <is>
          <t>Bus 6</t>
        </is>
      </c>
      <c r="G11" t="n">
        <v>20</v>
      </c>
      <c r="H11" t="n">
        <v>1</v>
      </c>
      <c r="I11" t="n">
        <v>0.9474876974932955</v>
      </c>
      <c r="J11" t="n">
        <v>-7.649918999573467</v>
      </c>
      <c r="K11" t="n">
        <v>0.5180499999999988</v>
      </c>
      <c r="L11" t="n">
        <v>0.1373542773269181</v>
      </c>
    </row>
    <row r="12">
      <c r="C12" t="n">
        <v>0</v>
      </c>
      <c r="D12" t="n">
        <v>7</v>
      </c>
      <c r="E12" t="inlineStr">
        <is>
          <t>CIGRE_MV</t>
        </is>
      </c>
      <c r="F12" t="inlineStr">
        <is>
          <t>Bus 7</t>
        </is>
      </c>
      <c r="G12" t="n">
        <v>20</v>
      </c>
      <c r="H12" t="n">
        <v>1</v>
      </c>
      <c r="I12" t="n">
        <v>0.9521991377365189</v>
      </c>
      <c r="J12" t="n">
        <v>-7.140043716329101</v>
      </c>
      <c r="K12" t="n">
        <v>-1.423500000000001</v>
      </c>
      <c r="L12" t="n">
        <v>0.04741044188783761</v>
      </c>
    </row>
    <row r="13">
      <c r="C13" t="n">
        <v>0</v>
      </c>
      <c r="D13" t="n">
        <v>8</v>
      </c>
      <c r="E13" t="inlineStr">
        <is>
          <t>CIGRE_MV</t>
        </is>
      </c>
      <c r="F13" t="inlineStr">
        <is>
          <t>Bus 8</t>
        </is>
      </c>
      <c r="G13" t="n">
        <v>20</v>
      </c>
      <c r="H13" t="n">
        <v>1</v>
      </c>
      <c r="I13" t="n">
        <v>0.9491867179245587</v>
      </c>
      <c r="J13" t="n">
        <v>-7.414179631813221</v>
      </c>
      <c r="K13" t="n">
        <v>0.5568499999999972</v>
      </c>
      <c r="L13" t="n">
        <v>0.1470784739518329</v>
      </c>
    </row>
    <row r="14">
      <c r="C14" t="n">
        <v>0</v>
      </c>
      <c r="D14" t="n">
        <v>9</v>
      </c>
      <c r="E14" t="inlineStr">
        <is>
          <t>CIGRE_MV</t>
        </is>
      </c>
      <c r="F14" t="inlineStr">
        <is>
          <t>Bus 9</t>
        </is>
      </c>
      <c r="G14" t="n">
        <v>20</v>
      </c>
      <c r="H14" t="n">
        <v>1</v>
      </c>
      <c r="I14" t="n">
        <v>0.9482636423070296</v>
      </c>
      <c r="J14" t="n">
        <v>-7.449484251899242</v>
      </c>
      <c r="K14" t="n">
        <v>0.5437499999999993</v>
      </c>
      <c r="L14" t="n">
        <v>0.3555783141587803</v>
      </c>
    </row>
    <row r="15">
      <c r="C15" t="n">
        <v>0</v>
      </c>
      <c r="D15" t="n">
        <v>10</v>
      </c>
      <c r="E15" t="inlineStr">
        <is>
          <t>CIGRE_MV</t>
        </is>
      </c>
      <c r="F15" t="inlineStr">
        <is>
          <t>Bus 10</t>
        </is>
      </c>
      <c r="G15" t="n">
        <v>20</v>
      </c>
      <c r="H15" t="n">
        <v>1</v>
      </c>
      <c r="I15" t="n">
        <v>0.947099738991005</v>
      </c>
      <c r="J15" t="n">
        <v>-7.508115645203354</v>
      </c>
      <c r="K15" t="n">
        <v>0.503300000000003</v>
      </c>
      <c r="L15" t="n">
        <v>0.1612640236666145</v>
      </c>
    </row>
    <row r="16">
      <c r="C16" t="n">
        <v>0</v>
      </c>
      <c r="D16" t="n">
        <v>11</v>
      </c>
      <c r="E16" t="inlineStr">
        <is>
          <t>CIGRE_MV</t>
        </is>
      </c>
      <c r="F16" t="inlineStr">
        <is>
          <t>Bus 11</t>
        </is>
      </c>
      <c r="G16" t="n">
        <v>20</v>
      </c>
      <c r="H16" t="n">
        <v>1</v>
      </c>
      <c r="I16" t="n">
        <v>0.9469155307302424</v>
      </c>
      <c r="J16" t="n">
        <v>-7.5182963527455</v>
      </c>
      <c r="K16" t="n">
        <v>0.3197999999999972</v>
      </c>
      <c r="L16" t="n">
        <v>0.08265567131177409</v>
      </c>
    </row>
    <row r="17">
      <c r="C17" t="n">
        <v>0</v>
      </c>
      <c r="D17" t="n">
        <v>12</v>
      </c>
      <c r="E17" t="inlineStr">
        <is>
          <t>CIGRE_MV</t>
        </is>
      </c>
      <c r="F17" t="inlineStr">
        <is>
          <t>Bus 12</t>
        </is>
      </c>
      <c r="G17" t="n">
        <v>20</v>
      </c>
      <c r="H17" t="n">
        <v>1</v>
      </c>
      <c r="I17" t="n">
        <v>1.000146252976285</v>
      </c>
      <c r="J17" t="n">
        <v>-5.487099757766773</v>
      </c>
      <c r="K17" t="n">
        <v>20.01</v>
      </c>
      <c r="L17" t="n">
        <v>4.693341029123442</v>
      </c>
    </row>
    <row r="18">
      <c r="C18" t="n">
        <v>0</v>
      </c>
      <c r="D18" t="n">
        <v>13</v>
      </c>
      <c r="E18" t="inlineStr">
        <is>
          <t>CIGRE_MV</t>
        </is>
      </c>
      <c r="F18" t="inlineStr">
        <is>
          <t>Bus 13</t>
        </is>
      </c>
      <c r="G18" t="n">
        <v>20</v>
      </c>
      <c r="H18" t="n">
        <v>1</v>
      </c>
      <c r="I18" t="n">
        <v>0.9953255860732695</v>
      </c>
      <c r="J18" t="n">
        <v>-5.538236715812583</v>
      </c>
      <c r="K18" t="n">
        <v>0.03399999999999892</v>
      </c>
      <c r="L18" t="n">
        <v>0.02107130750570541</v>
      </c>
    </row>
    <row r="19">
      <c r="C19" t="n">
        <v>0</v>
      </c>
      <c r="D19" t="n">
        <v>14</v>
      </c>
      <c r="E19" t="inlineStr">
        <is>
          <t>CIGRE_MV</t>
        </is>
      </c>
      <c r="F19" t="inlineStr">
        <is>
          <t>Bus 14</t>
        </is>
      </c>
      <c r="G19" t="n">
        <v>20</v>
      </c>
      <c r="H19" t="n">
        <v>1</v>
      </c>
      <c r="I19" t="n">
        <v>0.9925528877507248</v>
      </c>
      <c r="J19" t="n">
        <v>-5.56791276978978</v>
      </c>
      <c r="K19" t="n">
        <v>0.5400500000000008</v>
      </c>
      <c r="L19" t="n">
        <v>0.2577128050395441</v>
      </c>
    </row>
  </sheetData>
  <mergeCells count="1">
    <mergeCell ref="C2:L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U19"/>
  <sheetViews>
    <sheetView workbookViewId="0">
      <selection activeCell="S11" sqref="S11"/>
    </sheetView>
  </sheetViews>
  <sheetFormatPr baseColWidth="8" defaultRowHeight="14.4"/>
  <cols>
    <col width="5.33203125" customWidth="1" min="1" max="1"/>
    <col width="11.6640625" bestFit="1" customWidth="1" min="2" max="2"/>
    <col width="9" bestFit="1" customWidth="1" min="3" max="3"/>
    <col width="10" bestFit="1" customWidth="1" min="4" max="4"/>
    <col width="9.44140625" bestFit="1" customWidth="1" min="5" max="5"/>
    <col width="10.21875" bestFit="1" customWidth="1" min="6" max="6"/>
    <col width="12.77734375" bestFit="1" customWidth="1" min="7" max="7"/>
    <col width="11.21875" bestFit="1" customWidth="1" min="8" max="8"/>
    <col width="12.77734375" bestFit="1" customWidth="1" min="9" max="10"/>
    <col width="12.44140625" bestFit="1" customWidth="1" min="11" max="11"/>
    <col width="15" bestFit="1" customWidth="1" min="12" max="12"/>
    <col width="11.5546875" bestFit="1" customWidth="1" min="13" max="13"/>
    <col width="12.77734375" bestFit="1" customWidth="1" min="14" max="14"/>
    <col width="12.6640625" bestFit="1" customWidth="1" min="15" max="15"/>
    <col width="17" bestFit="1" customWidth="1" min="16" max="16"/>
    <col width="13.44140625" bestFit="1" customWidth="1" min="17" max="17"/>
    <col width="14.6640625" bestFit="1" customWidth="1" min="18" max="18"/>
    <col width="12.21875" bestFit="1" customWidth="1" min="19" max="19"/>
    <col width="12.33203125" bestFit="1" customWidth="1" min="20" max="20"/>
    <col width="12.6640625" bestFit="1" customWidth="1" min="21" max="21"/>
  </cols>
  <sheetData>
    <row r="2" ht="21" customHeight="1">
      <c r="C2" s="14" t="inlineStr">
        <is>
          <t>Tranmission and Distribution Lines</t>
        </is>
      </c>
    </row>
    <row r="3" ht="43.8" customHeight="1" thickBot="1">
      <c r="B3" s="12" t="inlineStr">
        <is>
          <t>Parameter</t>
        </is>
      </c>
      <c r="C3" s="18" t="inlineStr">
        <is>
          <t>Step</t>
        </is>
      </c>
      <c r="D3" s="18" t="inlineStr">
        <is>
          <t>Line Index</t>
        </is>
      </c>
      <c r="E3" s="18" t="inlineStr">
        <is>
          <t>Zone</t>
        </is>
      </c>
      <c r="F3" s="18" t="inlineStr">
        <is>
          <t>Line Name</t>
        </is>
      </c>
      <c r="G3" s="18" t="inlineStr">
        <is>
          <t>From Bus Index</t>
        </is>
      </c>
      <c r="H3" s="18" t="inlineStr">
        <is>
          <t>To Bus Index</t>
        </is>
      </c>
      <c r="I3" s="18" t="inlineStr">
        <is>
          <t>In Service</t>
        </is>
      </c>
      <c r="J3" s="18" t="inlineStr">
        <is>
          <t>Length [km]</t>
        </is>
      </c>
      <c r="K3" s="18" t="inlineStr">
        <is>
          <t>Max Current [A]</t>
        </is>
      </c>
      <c r="L3" s="18" t="inlineStr">
        <is>
          <t>Maximum Loading [%]</t>
        </is>
      </c>
      <c r="M3" s="18" t="inlineStr">
        <is>
          <t>Number of Lines in Parallel</t>
        </is>
      </c>
      <c r="N3" s="18" t="inlineStr">
        <is>
          <t>Std. Type</t>
        </is>
      </c>
      <c r="O3" s="18" t="inlineStr">
        <is>
          <t>From Bus Act. Power [MW]</t>
        </is>
      </c>
      <c r="P3" s="18" t="inlineStr">
        <is>
          <t>From Bus React. Power [MVAr]</t>
        </is>
      </c>
      <c r="Q3" s="18" t="inlineStr">
        <is>
          <t>To Bus Act. Power [MW]</t>
        </is>
      </c>
      <c r="R3" s="18" t="inlineStr">
        <is>
          <t>To Bus Raact. Power [MVAr]</t>
        </is>
      </c>
      <c r="S3" s="18" t="inlineStr">
        <is>
          <t>Active Losses [MW]</t>
        </is>
      </c>
      <c r="T3" s="18" t="inlineStr">
        <is>
          <t>Reactive Losses [MVar]</t>
        </is>
      </c>
      <c r="U3" s="18" t="inlineStr">
        <is>
          <t>Loading  [%]</t>
        </is>
      </c>
    </row>
    <row r="4" ht="46.5" customHeight="1">
      <c r="B4" s="12" t="inlineStr">
        <is>
          <t>Pandapower Command</t>
        </is>
      </c>
      <c r="C4" s="3" t="inlineStr">
        <is>
          <t>step</t>
        </is>
      </c>
      <c r="D4" s="3" t="inlineStr">
        <is>
          <t>index</t>
        </is>
      </c>
      <c r="E4" s="3" t="inlineStr">
        <is>
          <t>zone</t>
        </is>
      </c>
      <c r="F4" s="3" t="inlineStr">
        <is>
          <t>name</t>
        </is>
      </c>
      <c r="G4" s="3" t="inlineStr">
        <is>
          <t>from_bus</t>
        </is>
      </c>
      <c r="H4" s="3" t="inlineStr">
        <is>
          <t>to_bus</t>
        </is>
      </c>
      <c r="I4" s="3" t="inlineStr">
        <is>
          <t>in_service</t>
        </is>
      </c>
      <c r="J4" s="3" t="inlineStr">
        <is>
          <t>length_km</t>
        </is>
      </c>
      <c r="K4" s="3" t="inlineStr">
        <is>
          <t>max_i_ka</t>
        </is>
      </c>
      <c r="L4" s="3" t="inlineStr">
        <is>
          <t>max_loading_percent</t>
        </is>
      </c>
      <c r="M4" s="3" t="inlineStr">
        <is>
          <t>parallel</t>
        </is>
      </c>
      <c r="N4" s="3" t="inlineStr">
        <is>
          <t>std_type</t>
        </is>
      </c>
      <c r="O4" s="3" t="inlineStr">
        <is>
          <t>p_from_mw</t>
        </is>
      </c>
      <c r="P4" s="3" t="inlineStr">
        <is>
          <t>q_from_mvar</t>
        </is>
      </c>
      <c r="Q4" s="3" t="inlineStr">
        <is>
          <t>p_to_mw</t>
        </is>
      </c>
      <c r="R4" s="3" t="inlineStr">
        <is>
          <t>q_to_mvar</t>
        </is>
      </c>
      <c r="S4" s="3" t="inlineStr">
        <is>
          <t>pl_mw</t>
        </is>
      </c>
      <c r="T4" s="3" t="inlineStr">
        <is>
          <t>ql_mvar</t>
        </is>
      </c>
      <c r="U4" s="3" t="inlineStr">
        <is>
          <t>loading_percent</t>
        </is>
      </c>
    </row>
    <row r="5">
      <c r="B5" s="12" t="n"/>
      <c r="C5" s="5" t="n">
        <v>0</v>
      </c>
      <c r="D5" t="n">
        <v>0</v>
      </c>
      <c r="E5" t="inlineStr">
        <is>
          <t>CIGRE_MV</t>
        </is>
      </c>
      <c r="F5" t="inlineStr">
        <is>
          <t>Line 1-2</t>
        </is>
      </c>
      <c r="G5" t="n">
        <v>1</v>
      </c>
      <c r="H5" t="n">
        <v>2</v>
      </c>
      <c r="I5" t="n">
        <v>1</v>
      </c>
      <c r="J5" t="n">
        <v>2.82</v>
      </c>
      <c r="K5" t="n">
        <v>0.145</v>
      </c>
      <c r="L5" t="inlineStr">
        <is>
          <t>---</t>
        </is>
      </c>
      <c r="M5" t="n">
        <v>1</v>
      </c>
      <c r="N5" t="inlineStr">
        <is>
          <t>CABLE_CIGRE_MV</t>
        </is>
      </c>
      <c r="O5" t="n">
        <v>2.705635643128716</v>
      </c>
      <c r="P5" t="n">
        <v>1.304404271495319</v>
      </c>
      <c r="Q5" t="n">
        <v>-2.673143192744621</v>
      </c>
      <c r="R5" t="n">
        <v>-1.310050826953769</v>
      </c>
      <c r="S5" t="n">
        <v>0.03249245038409532</v>
      </c>
      <c r="T5" t="n">
        <v>-0.005646555458449942</v>
      </c>
      <c r="U5" t="n">
        <v>60.61128025233168</v>
      </c>
    </row>
    <row r="6">
      <c r="C6" s="6" t="n">
        <v>0</v>
      </c>
      <c r="D6" t="n">
        <v>1</v>
      </c>
      <c r="E6" t="inlineStr">
        <is>
          <t>CIGRE_MV</t>
        </is>
      </c>
      <c r="F6" t="inlineStr">
        <is>
          <t>Line 2-3</t>
        </is>
      </c>
      <c r="G6" t="n">
        <v>2</v>
      </c>
      <c r="H6" t="n">
        <v>3</v>
      </c>
      <c r="I6" t="n">
        <v>1</v>
      </c>
      <c r="J6" t="n">
        <v>4.42</v>
      </c>
      <c r="K6" t="n">
        <v>0.145</v>
      </c>
      <c r="L6" t="inlineStr">
        <is>
          <t>---</t>
        </is>
      </c>
      <c r="M6" t="n">
        <v>1</v>
      </c>
      <c r="N6" t="inlineStr">
        <is>
          <t>CABLE_CIGRE_MV</t>
        </is>
      </c>
      <c r="O6" t="n">
        <v>2.673143192744612</v>
      </c>
      <c r="P6" t="n">
        <v>1.310050826953756</v>
      </c>
      <c r="Q6" t="n">
        <v>-2.621212269794694</v>
      </c>
      <c r="R6" t="n">
        <v>-1.314012884335428</v>
      </c>
      <c r="S6" t="n">
        <v>0.05193092294991786</v>
      </c>
      <c r="T6" t="n">
        <v>-0.003962057381672768</v>
      </c>
      <c r="U6" t="n">
        <v>61.3277538311325</v>
      </c>
    </row>
    <row r="7">
      <c r="C7" t="n">
        <v>0</v>
      </c>
      <c r="D7" t="n">
        <v>2</v>
      </c>
      <c r="E7" t="inlineStr">
        <is>
          <t>CIGRE_MV</t>
        </is>
      </c>
      <c r="F7" t="inlineStr">
        <is>
          <t>Line 3-4</t>
        </is>
      </c>
      <c r="G7" t="n">
        <v>3</v>
      </c>
      <c r="H7" t="n">
        <v>4</v>
      </c>
      <c r="I7" t="n">
        <v>1</v>
      </c>
      <c r="J7" t="n">
        <v>0.61</v>
      </c>
      <c r="K7" t="n">
        <v>0.145</v>
      </c>
      <c r="L7" t="inlineStr">
        <is>
          <t>---</t>
        </is>
      </c>
      <c r="M7" t="n">
        <v>1</v>
      </c>
      <c r="N7" t="inlineStr">
        <is>
          <t>CABLE_CIGRE_MV</t>
        </is>
      </c>
      <c r="O7" t="n">
        <v>1.631394949832426</v>
      </c>
      <c r="P7" t="n">
        <v>0.3833932300167681</v>
      </c>
      <c r="Q7" t="n">
        <v>-1.629023226436999</v>
      </c>
      <c r="R7" t="n">
        <v>-0.3904835260754647</v>
      </c>
      <c r="S7" t="n">
        <v>0.002371723395426129</v>
      </c>
      <c r="T7" t="n">
        <v>-0.007090296058696544</v>
      </c>
      <c r="U7" t="n">
        <v>35.10215626122485</v>
      </c>
    </row>
    <row r="8">
      <c r="C8" t="n">
        <v>0</v>
      </c>
      <c r="D8" t="n">
        <v>3</v>
      </c>
      <c r="E8" t="inlineStr">
        <is>
          <t>CIGRE_MV</t>
        </is>
      </c>
      <c r="F8" t="inlineStr">
        <is>
          <t>Line 4-5</t>
        </is>
      </c>
      <c r="G8" t="n">
        <v>4</v>
      </c>
      <c r="H8" t="n">
        <v>5</v>
      </c>
      <c r="I8" t="n">
        <v>1</v>
      </c>
      <c r="J8" t="n">
        <v>0.5600000000000001</v>
      </c>
      <c r="K8" t="n">
        <v>0.145</v>
      </c>
      <c r="L8" t="inlineStr">
        <is>
          <t>---</t>
        </is>
      </c>
      <c r="M8" t="n">
        <v>1</v>
      </c>
      <c r="N8" t="inlineStr">
        <is>
          <t>CABLE_CIGRE_MV</t>
        </is>
      </c>
      <c r="O8" t="n">
        <v>1.217373226436962</v>
      </c>
      <c r="P8" t="n">
        <v>0.2823018386233774</v>
      </c>
      <c r="Q8" t="n">
        <v>-1.216157634235082</v>
      </c>
      <c r="R8" t="n">
        <v>-0.2901555310955075</v>
      </c>
      <c r="S8" t="n">
        <v>0.001215592201880167</v>
      </c>
      <c r="T8" t="n">
        <v>-0.007853692472130136</v>
      </c>
      <c r="U8" t="n">
        <v>26.23225802484566</v>
      </c>
    </row>
    <row r="9">
      <c r="C9" t="n">
        <v>0</v>
      </c>
      <c r="D9" t="n">
        <v>4</v>
      </c>
      <c r="E9" t="inlineStr">
        <is>
          <t>CIGRE_MV</t>
        </is>
      </c>
      <c r="F9" t="inlineStr">
        <is>
          <t>Line 5-6</t>
        </is>
      </c>
      <c r="G9" t="n">
        <v>5</v>
      </c>
      <c r="H9" t="n">
        <v>6</v>
      </c>
      <c r="I9" t="n">
        <v>1</v>
      </c>
      <c r="J9" t="n">
        <v>1.54</v>
      </c>
      <c r="K9" t="n">
        <v>0.145</v>
      </c>
      <c r="L9" t="inlineStr">
        <is>
          <t>---</t>
        </is>
      </c>
      <c r="M9" t="n">
        <v>1</v>
      </c>
      <c r="N9" t="inlineStr">
        <is>
          <t>CABLE_CIGRE_MV</t>
        </is>
      </c>
      <c r="O9" t="n">
        <v>0.518657634235083</v>
      </c>
      <c r="P9" t="n">
        <v>0.1078268443782767</v>
      </c>
      <c r="Q9" t="n">
        <v>-0.5180500014025022</v>
      </c>
      <c r="R9" t="n">
        <v>-0.1332612167925857</v>
      </c>
      <c r="S9" t="n">
        <v>0.0006076328325808067</v>
      </c>
      <c r="T9" t="n">
        <v>-0.02543437241430892</v>
      </c>
      <c r="U9" t="n">
        <v>11.2396502739944</v>
      </c>
    </row>
    <row r="10">
      <c r="C10" t="n">
        <v>0</v>
      </c>
      <c r="D10" t="n">
        <v>5</v>
      </c>
      <c r="E10" t="inlineStr">
        <is>
          <t>CIGRE_MV</t>
        </is>
      </c>
      <c r="F10" t="inlineStr">
        <is>
          <t>Line 7-8</t>
        </is>
      </c>
      <c r="G10" t="n">
        <v>7</v>
      </c>
      <c r="H10" t="n">
        <v>8</v>
      </c>
      <c r="I10" t="n">
        <v>1</v>
      </c>
      <c r="J10" t="n">
        <v>1.67</v>
      </c>
      <c r="K10" t="n">
        <v>0.145</v>
      </c>
      <c r="L10" t="inlineStr">
        <is>
          <t>---</t>
        </is>
      </c>
      <c r="M10" t="n">
        <v>1</v>
      </c>
      <c r="N10" t="inlineStr">
        <is>
          <t>CABLE_CIGRE_MV</t>
        </is>
      </c>
      <c r="O10" t="n">
        <v>1.423499999999917</v>
      </c>
      <c r="P10" t="n">
        <v>-0.04741044188784735</v>
      </c>
      <c r="Q10" t="n">
        <v>-1.418822785226154</v>
      </c>
      <c r="R10" t="n">
        <v>0.02542088683929056</v>
      </c>
      <c r="S10" t="n">
        <v>0.004677214773763261</v>
      </c>
      <c r="T10" t="n">
        <v>-0.02198955504855679</v>
      </c>
      <c r="U10" t="n">
        <v>29.77911599847852</v>
      </c>
    </row>
    <row r="11">
      <c r="C11" t="n">
        <v>0</v>
      </c>
      <c r="D11" t="n">
        <v>6</v>
      </c>
      <c r="E11" t="inlineStr">
        <is>
          <t>CIGRE_MV</t>
        </is>
      </c>
      <c r="F11" t="inlineStr">
        <is>
          <t>Line 8-9</t>
        </is>
      </c>
      <c r="G11" t="n">
        <v>8</v>
      </c>
      <c r="H11" t="n">
        <v>9</v>
      </c>
      <c r="I11" t="n">
        <v>1</v>
      </c>
      <c r="J11" t="n">
        <v>0.32</v>
      </c>
      <c r="K11" t="n">
        <v>0.145</v>
      </c>
      <c r="L11" t="inlineStr">
        <is>
          <t>---</t>
        </is>
      </c>
      <c r="M11" t="n">
        <v>1</v>
      </c>
      <c r="N11" t="inlineStr">
        <is>
          <t>CABLE_CIGRE_MV</t>
        </is>
      </c>
      <c r="O11" t="n">
        <v>1.368660713988649</v>
      </c>
      <c r="P11" t="n">
        <v>0.5695079601312821</v>
      </c>
      <c r="Q11" t="n">
        <v>-1.367681709036402</v>
      </c>
      <c r="R11" t="n">
        <v>-0.5735805007830721</v>
      </c>
      <c r="S11" t="n">
        <v>0.00097900495224712</v>
      </c>
      <c r="T11" t="n">
        <v>-0.004072540651789969</v>
      </c>
      <c r="U11" t="n">
        <v>31.13715884673056</v>
      </c>
    </row>
    <row r="12">
      <c r="C12" t="n">
        <v>0</v>
      </c>
      <c r="D12" t="n">
        <v>7</v>
      </c>
      <c r="E12" t="inlineStr">
        <is>
          <t>CIGRE_MV</t>
        </is>
      </c>
      <c r="F12" t="inlineStr">
        <is>
          <t>Line 9-10</t>
        </is>
      </c>
      <c r="G12" t="n">
        <v>9</v>
      </c>
      <c r="H12" t="n">
        <v>10</v>
      </c>
      <c r="I12" t="n">
        <v>1</v>
      </c>
      <c r="J12" t="n">
        <v>0.77</v>
      </c>
      <c r="K12" t="n">
        <v>0.145</v>
      </c>
      <c r="L12" t="inlineStr">
        <is>
          <t>---</t>
        </is>
      </c>
      <c r="M12" t="n">
        <v>1</v>
      </c>
      <c r="N12" t="inlineStr">
        <is>
          <t>CABLE_CIGRE_MV</t>
        </is>
      </c>
      <c r="O12" t="n">
        <v>0.8239317090364446</v>
      </c>
      <c r="P12" t="n">
        <v>0.2180021866244519</v>
      </c>
      <c r="Q12" t="n">
        <v>-0.823149512366708</v>
      </c>
      <c r="R12" t="n">
        <v>-0.2300215957291385</v>
      </c>
      <c r="S12" t="n">
        <v>0.0007821966697366678</v>
      </c>
      <c r="T12" t="n">
        <v>-0.0120194091046866</v>
      </c>
      <c r="U12" t="n">
        <v>17.9659970959244</v>
      </c>
    </row>
    <row r="13">
      <c r="C13" t="n">
        <v>0</v>
      </c>
      <c r="D13" t="n">
        <v>8</v>
      </c>
      <c r="E13" t="inlineStr">
        <is>
          <t>CIGRE_MV</t>
        </is>
      </c>
      <c r="F13" t="inlineStr">
        <is>
          <t>Line 10-11</t>
        </is>
      </c>
      <c r="G13" t="n">
        <v>10</v>
      </c>
      <c r="H13" t="n">
        <v>11</v>
      </c>
      <c r="I13" t="n">
        <v>1</v>
      </c>
      <c r="J13" t="n">
        <v>0.33</v>
      </c>
      <c r="K13" t="n">
        <v>0.145</v>
      </c>
      <c r="L13" t="inlineStr">
        <is>
          <t>---</t>
        </is>
      </c>
      <c r="M13" t="n">
        <v>1</v>
      </c>
      <c r="N13" t="inlineStr">
        <is>
          <t>CABLE_CIGRE_MV</t>
        </is>
      </c>
      <c r="O13" t="n">
        <v>0.3198495123666337</v>
      </c>
      <c r="P13" t="n">
        <v>0.0687575720625539</v>
      </c>
      <c r="Q13" t="n">
        <v>-0.3198000119208612</v>
      </c>
      <c r="R13" t="n">
        <v>-0.07430908286615506</v>
      </c>
      <c r="S13" t="n">
        <v>4.95004457724546e-05</v>
      </c>
      <c r="T13" t="n">
        <v>-0.005551510803601167</v>
      </c>
      <c r="U13" t="n">
        <v>6.902830387587723</v>
      </c>
    </row>
    <row r="14">
      <c r="C14" t="n">
        <v>0</v>
      </c>
      <c r="D14" t="n">
        <v>9</v>
      </c>
      <c r="E14" t="inlineStr">
        <is>
          <t>CIGRE_MV</t>
        </is>
      </c>
      <c r="F14" t="inlineStr">
        <is>
          <t>Line 3-8</t>
        </is>
      </c>
      <c r="G14" t="n">
        <v>3</v>
      </c>
      <c r="H14" t="n">
        <v>8</v>
      </c>
      <c r="I14" t="n">
        <v>1</v>
      </c>
      <c r="J14" t="n">
        <v>1.3</v>
      </c>
      <c r="K14" t="n">
        <v>0.145</v>
      </c>
      <c r="L14" t="inlineStr">
        <is>
          <t>---</t>
        </is>
      </c>
      <c r="M14" t="n">
        <v>1</v>
      </c>
      <c r="N14" t="inlineStr">
        <is>
          <t>CABLE_CIGRE_MV</t>
        </is>
      </c>
      <c r="O14" t="n">
        <v>0.5081173199622434</v>
      </c>
      <c r="P14" t="n">
        <v>0.7217373411408696</v>
      </c>
      <c r="Q14" t="n">
        <v>-0.5066879287622202</v>
      </c>
      <c r="R14" t="n">
        <v>-0.742007320922535</v>
      </c>
      <c r="S14" t="n">
        <v>0.001429391200023167</v>
      </c>
      <c r="T14" t="n">
        <v>-0.02026997978166534</v>
      </c>
      <c r="U14" t="n">
        <v>18.84556757219892</v>
      </c>
    </row>
    <row r="15">
      <c r="C15" t="n">
        <v>0</v>
      </c>
      <c r="D15" t="n">
        <v>10</v>
      </c>
      <c r="E15" t="inlineStr">
        <is>
          <t>CIGRE_MV</t>
        </is>
      </c>
      <c r="F15" t="inlineStr">
        <is>
          <t>Line 12-13</t>
        </is>
      </c>
      <c r="G15" t="n">
        <v>12</v>
      </c>
      <c r="H15" t="n">
        <v>13</v>
      </c>
      <c r="I15" t="n">
        <v>1</v>
      </c>
      <c r="J15" t="n">
        <v>4.89</v>
      </c>
      <c r="K15" t="n">
        <v>0.195</v>
      </c>
      <c r="L15" t="inlineStr">
        <is>
          <t>---</t>
        </is>
      </c>
      <c r="M15" t="n">
        <v>1</v>
      </c>
      <c r="N15" t="inlineStr">
        <is>
          <t>OHL_CIGRE_MV</t>
        </is>
      </c>
      <c r="O15" t="n">
        <v>0.5779711672005151</v>
      </c>
      <c r="P15" t="n">
        <v>0.2691738969450175</v>
      </c>
      <c r="Q15" t="n">
        <v>-0.5754269772359679</v>
      </c>
      <c r="R15" t="n">
        <v>-0.2735244719343727</v>
      </c>
      <c r="S15" t="n">
        <v>0.002544189964547194</v>
      </c>
      <c r="T15" t="n">
        <v>-0.004350574989355149</v>
      </c>
      <c r="U15" t="n">
        <v>9.476242316810859</v>
      </c>
    </row>
    <row r="16">
      <c r="C16" t="n">
        <v>0</v>
      </c>
      <c r="D16" t="n">
        <v>11</v>
      </c>
      <c r="E16" t="inlineStr">
        <is>
          <t>CIGRE_MV</t>
        </is>
      </c>
      <c r="F16" t="inlineStr">
        <is>
          <t>Line 13-14</t>
        </is>
      </c>
      <c r="G16" t="n">
        <v>13</v>
      </c>
      <c r="H16" t="n">
        <v>14</v>
      </c>
      <c r="I16" t="n">
        <v>1</v>
      </c>
      <c r="J16" t="n">
        <v>2.99</v>
      </c>
      <c r="K16" t="n">
        <v>0.195</v>
      </c>
      <c r="L16" t="inlineStr">
        <is>
          <t>---</t>
        </is>
      </c>
      <c r="M16" t="n">
        <v>1</v>
      </c>
      <c r="N16" t="inlineStr">
        <is>
          <t>OHL_CIGRE_MV</t>
        </is>
      </c>
      <c r="O16" t="n">
        <v>0.5414269772358943</v>
      </c>
      <c r="P16" t="n">
        <v>0.2524531644287124</v>
      </c>
      <c r="Q16" t="n">
        <v>-0.5400500040442257</v>
      </c>
      <c r="R16" t="n">
        <v>-0.255212856885791</v>
      </c>
      <c r="S16" t="n">
        <v>0.001376973191668629</v>
      </c>
      <c r="T16" t="n">
        <v>-0.002759692457078633</v>
      </c>
      <c r="U16" t="n">
        <v>8.908939098002941</v>
      </c>
    </row>
    <row r="17">
      <c r="C17" t="n">
        <v>0</v>
      </c>
      <c r="D17" t="n">
        <v>12</v>
      </c>
      <c r="E17" t="inlineStr">
        <is>
          <t>CIGRE_MV</t>
        </is>
      </c>
      <c r="F17" t="inlineStr">
        <is>
          <t>Line 6-7</t>
        </is>
      </c>
      <c r="G17" t="n">
        <v>6</v>
      </c>
      <c r="H17" t="n">
        <v>7</v>
      </c>
      <c r="I17" t="n">
        <v>1</v>
      </c>
      <c r="J17" t="n">
        <v>0.24</v>
      </c>
      <c r="K17" t="n">
        <v>0.145</v>
      </c>
      <c r="L17" t="inlineStr">
        <is>
          <t>---</t>
        </is>
      </c>
      <c r="M17" t="n">
        <v>1</v>
      </c>
      <c r="N17" t="inlineStr">
        <is>
          <t>CABLE_CIGRE_MV</t>
        </is>
      </c>
      <c r="O17" t="n">
        <v>1.402832202398313e-09</v>
      </c>
      <c r="P17" t="n">
        <v>-0.004093060534332948</v>
      </c>
      <c r="Q17" t="n">
        <v>-4.557118537161755e-13</v>
      </c>
      <c r="R17" t="n">
        <v>-1.561591691763034e-13</v>
      </c>
      <c r="S17" t="n">
        <v>1.402376490544597e-09</v>
      </c>
      <c r="T17" t="n">
        <v>-0.004093060534489107</v>
      </c>
      <c r="U17" t="n">
        <v>0.08600346774617844</v>
      </c>
    </row>
    <row r="18">
      <c r="C18" t="n">
        <v>0</v>
      </c>
      <c r="D18" t="n">
        <v>13</v>
      </c>
      <c r="E18" t="inlineStr">
        <is>
          <t>CIGRE_MV</t>
        </is>
      </c>
      <c r="F18" t="inlineStr">
        <is>
          <t>Line 11-4</t>
        </is>
      </c>
      <c r="G18" t="n">
        <v>11</v>
      </c>
      <c r="H18" t="n">
        <v>4</v>
      </c>
      <c r="I18" t="n">
        <v>1</v>
      </c>
      <c r="J18" t="n">
        <v>0.49</v>
      </c>
      <c r="K18" t="n">
        <v>0.145</v>
      </c>
      <c r="L18" t="inlineStr">
        <is>
          <t>---</t>
        </is>
      </c>
      <c r="M18" t="n">
        <v>1</v>
      </c>
      <c r="N18" t="inlineStr">
        <is>
          <t>CABLE_CIGRE_MV</t>
        </is>
      </c>
      <c r="O18" t="n">
        <v>1.19209874998704e-08</v>
      </c>
      <c r="P18" t="n">
        <v>-0.008346588445511838</v>
      </c>
      <c r="Q18" t="n">
        <v>-1.408582793458741e-14</v>
      </c>
      <c r="R18" t="n">
        <v>-1.067267588919124e-13</v>
      </c>
      <c r="S18" t="n">
        <v>1.192097341404247e-08</v>
      </c>
      <c r="T18" t="n">
        <v>-0.008346588445618565</v>
      </c>
      <c r="U18" t="n">
        <v>0.1754846504236307</v>
      </c>
    </row>
    <row r="19">
      <c r="C19" t="n">
        <v>0</v>
      </c>
      <c r="D19" t="n">
        <v>14</v>
      </c>
      <c r="E19" t="inlineStr">
        <is>
          <t>CIGRE_MV</t>
        </is>
      </c>
      <c r="F19" t="inlineStr">
        <is>
          <t>Line 14-8</t>
        </is>
      </c>
      <c r="G19" t="n">
        <v>14</v>
      </c>
      <c r="H19" t="n">
        <v>8</v>
      </c>
      <c r="I19" t="n">
        <v>1</v>
      </c>
      <c r="J19" t="n">
        <v>2</v>
      </c>
      <c r="K19" t="n">
        <v>0.195</v>
      </c>
      <c r="L19" t="inlineStr">
        <is>
          <t>---</t>
        </is>
      </c>
      <c r="M19" t="n">
        <v>1</v>
      </c>
      <c r="N19" t="inlineStr">
        <is>
          <t>OHL_CIGRE_MV</t>
        </is>
      </c>
      <c r="O19" t="n">
        <v>4.044229546195342e-09</v>
      </c>
      <c r="P19" t="n">
        <v>-0.002499948153754661</v>
      </c>
      <c r="Q19" t="n">
        <v>0</v>
      </c>
      <c r="R19" t="n">
        <v>0</v>
      </c>
      <c r="S19" t="n">
        <v>4.044229546195342e-09</v>
      </c>
      <c r="T19" t="n">
        <v>-0.002499948153754661</v>
      </c>
      <c r="U19" t="n">
        <v>0.03728654218122243</v>
      </c>
    </row>
  </sheetData>
  <mergeCells count="1">
    <mergeCell ref="C2:U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W6"/>
  <sheetViews>
    <sheetView tabSelected="1" workbookViewId="0">
      <selection activeCell="N14" sqref="N14"/>
    </sheetView>
  </sheetViews>
  <sheetFormatPr baseColWidth="8" defaultRowHeight="14.4"/>
  <cols>
    <col width="3.77734375" customWidth="1" min="1" max="1"/>
    <col width="11.6640625" bestFit="1" customWidth="1" min="2" max="2"/>
    <col width="9" customWidth="1" min="6" max="6"/>
    <col width="11.33203125" customWidth="1" min="11" max="11"/>
    <col width="9.6640625" customWidth="1" min="12" max="12"/>
    <col width="10.6640625" customWidth="1" min="13" max="13"/>
  </cols>
  <sheetData>
    <row r="2" ht="21" customHeight="1">
      <c r="C2" s="14" t="inlineStr">
        <is>
          <t>Transformers</t>
        </is>
      </c>
    </row>
    <row r="3" ht="58.2" customHeight="1" thickBot="1">
      <c r="B3" s="12" t="inlineStr">
        <is>
          <t>Parameter</t>
        </is>
      </c>
      <c r="C3" s="15" t="inlineStr">
        <is>
          <t>Time Step</t>
        </is>
      </c>
      <c r="D3" s="15" t="inlineStr">
        <is>
          <t>Trafo Index</t>
        </is>
      </c>
      <c r="E3" s="15" t="inlineStr">
        <is>
          <t>Zone</t>
        </is>
      </c>
      <c r="F3" s="15" t="inlineStr">
        <is>
          <t>Name</t>
        </is>
      </c>
      <c r="G3" s="15" t="inlineStr">
        <is>
          <t>Std Type</t>
        </is>
      </c>
      <c r="H3" s="15" t="inlineStr">
        <is>
          <t>HV Bus Index</t>
        </is>
      </c>
      <c r="I3" s="15" t="inlineStr">
        <is>
          <t>LV Bus Index</t>
        </is>
      </c>
      <c r="J3" s="15" t="inlineStr">
        <is>
          <t>High Voltage Side [kV]</t>
        </is>
      </c>
      <c r="K3" s="15" t="inlineStr">
        <is>
          <t xml:space="preserve">Low Voltage Side [kV] </t>
        </is>
      </c>
      <c r="L3" s="15" t="inlineStr">
        <is>
          <t>FE Losses [kW]</t>
        </is>
      </c>
      <c r="M3" s="15" t="inlineStr">
        <is>
          <t>Shift Degree</t>
        </is>
      </c>
      <c r="N3" s="15" t="inlineStr">
        <is>
          <t>Tap Position</t>
        </is>
      </c>
      <c r="O3" s="15" t="inlineStr">
        <is>
          <t>Number of Trafos in Parallel</t>
        </is>
      </c>
      <c r="P3" s="15" t="inlineStr">
        <is>
          <t>In Service</t>
        </is>
      </c>
      <c r="Q3" s="15" t="inlineStr">
        <is>
          <t>HV Act. Power [MW]</t>
        </is>
      </c>
      <c r="R3" s="15" t="inlineStr">
        <is>
          <t>HV React. Power [MVAr]</t>
        </is>
      </c>
      <c r="S3" s="15" t="inlineStr">
        <is>
          <t>LV Act. Power [MW]</t>
        </is>
      </c>
      <c r="T3" s="15" t="inlineStr">
        <is>
          <t>LV React. Power [MVAr]</t>
        </is>
      </c>
      <c r="U3" s="15" t="inlineStr">
        <is>
          <t>Active Losses [MW]</t>
        </is>
      </c>
      <c r="V3" s="15" t="inlineStr">
        <is>
          <t>Reactive Losses [MVAr]</t>
        </is>
      </c>
      <c r="W3" s="15" t="inlineStr">
        <is>
          <t>Loading [%]</t>
        </is>
      </c>
    </row>
    <row r="4" ht="28.8" customHeight="1">
      <c r="B4" s="12" t="inlineStr">
        <is>
          <t>Pandapower Command</t>
        </is>
      </c>
      <c r="C4" s="5" t="inlineStr">
        <is>
          <t>step</t>
        </is>
      </c>
      <c r="D4" t="inlineStr">
        <is>
          <t>index</t>
        </is>
      </c>
      <c r="E4" t="inlineStr">
        <is>
          <t>zone</t>
        </is>
      </c>
      <c r="F4" t="inlineStr">
        <is>
          <t>name</t>
        </is>
      </c>
      <c r="G4" t="inlineStr">
        <is>
          <t>std_type</t>
        </is>
      </c>
      <c r="H4" t="inlineStr">
        <is>
          <t>hv_bus</t>
        </is>
      </c>
      <c r="I4" t="inlineStr">
        <is>
          <t>lv_bus</t>
        </is>
      </c>
      <c r="J4" t="inlineStr">
        <is>
          <t>vn_hv_kv</t>
        </is>
      </c>
      <c r="K4" t="inlineStr">
        <is>
          <t>vn_lv_kv</t>
        </is>
      </c>
      <c r="L4" t="inlineStr">
        <is>
          <t>pfe_kw</t>
        </is>
      </c>
      <c r="M4" t="inlineStr">
        <is>
          <t>shift_degree</t>
        </is>
      </c>
      <c r="N4" t="inlineStr">
        <is>
          <t>tap_pos</t>
        </is>
      </c>
      <c r="O4" t="inlineStr">
        <is>
          <t>parallel</t>
        </is>
      </c>
      <c r="P4" t="inlineStr">
        <is>
          <t>in_service</t>
        </is>
      </c>
      <c r="Q4" t="inlineStr">
        <is>
          <t>p_hv_mw</t>
        </is>
      </c>
      <c r="R4" t="inlineStr">
        <is>
          <t>q_hv_mvar</t>
        </is>
      </c>
      <c r="S4" t="inlineStr">
        <is>
          <t>p_lv_mw</t>
        </is>
      </c>
      <c r="T4" t="inlineStr">
        <is>
          <t>q_lv_mvar</t>
        </is>
      </c>
      <c r="U4" t="inlineStr">
        <is>
          <t>pl_mw</t>
        </is>
      </c>
      <c r="V4" t="inlineStr">
        <is>
          <t>ql_mvar</t>
        </is>
      </c>
      <c r="W4" s="7" t="inlineStr">
        <is>
          <t>loading_percent</t>
        </is>
      </c>
    </row>
    <row r="5">
      <c r="B5" s="12" t="n"/>
      <c r="C5" s="5" t="n">
        <v>0</v>
      </c>
      <c r="D5" t="n">
        <v>0</v>
      </c>
      <c r="E5" t="inlineStr">
        <is>
          <t>CIGRE_MV</t>
        </is>
      </c>
      <c r="F5" t="inlineStr">
        <is>
          <t>Trafo 0-1</t>
        </is>
      </c>
      <c r="G5" t="inlineStr">
        <is>
          <t>---</t>
        </is>
      </c>
      <c r="H5" t="n">
        <v>0</v>
      </c>
      <c r="I5" t="n">
        <v>1</v>
      </c>
      <c r="J5" t="n">
        <v>110</v>
      </c>
      <c r="K5" t="n">
        <v>20</v>
      </c>
      <c r="L5" t="n">
        <v>0</v>
      </c>
      <c r="M5" t="n">
        <v>30</v>
      </c>
      <c r="N5" t="inlineStr">
        <is>
          <t>---</t>
        </is>
      </c>
      <c r="O5" t="n">
        <v>1</v>
      </c>
      <c r="P5" t="n">
        <v>1</v>
      </c>
      <c r="Q5" t="n">
        <v>22.57983543483126</v>
      </c>
      <c r="R5" t="n">
        <v>8.581525440146454</v>
      </c>
      <c r="S5" t="n">
        <v>-22.54463564312873</v>
      </c>
      <c r="T5" t="n">
        <v>-5.941540318633086</v>
      </c>
      <c r="U5" t="n">
        <v>0.03519979170253151</v>
      </c>
      <c r="V5" t="n">
        <v>2.639985121513368</v>
      </c>
      <c r="W5" s="13" t="n">
        <v>93.80803763874438</v>
      </c>
    </row>
    <row r="6">
      <c r="C6" t="n">
        <v>0</v>
      </c>
      <c r="D6" t="n">
        <v>1</v>
      </c>
      <c r="E6" t="inlineStr">
        <is>
          <t>CIGRE_MV</t>
        </is>
      </c>
      <c r="F6" t="inlineStr">
        <is>
          <t>Trafo 0-12</t>
        </is>
      </c>
      <c r="G6" t="inlineStr">
        <is>
          <t>---</t>
        </is>
      </c>
      <c r="H6" t="n">
        <v>0</v>
      </c>
      <c r="I6" t="n">
        <v>12</v>
      </c>
      <c r="J6" t="n">
        <v>110</v>
      </c>
      <c r="K6" t="n">
        <v>20</v>
      </c>
      <c r="L6" t="n">
        <v>0</v>
      </c>
      <c r="M6" t="n">
        <v>30</v>
      </c>
      <c r="N6" t="inlineStr">
        <is>
          <t>---</t>
        </is>
      </c>
      <c r="O6" t="n">
        <v>1</v>
      </c>
      <c r="P6" t="n">
        <v>1</v>
      </c>
      <c r="Q6" t="n">
        <v>20.61666620423266</v>
      </c>
      <c r="R6" t="n">
        <v>7.114643309847716</v>
      </c>
      <c r="S6" t="n">
        <v>-20.58797116720051</v>
      </c>
      <c r="T6" t="n">
        <v>-4.962514926068454</v>
      </c>
      <c r="U6" t="n">
        <v>0.02869503703214349</v>
      </c>
      <c r="V6" t="n">
        <v>2.152128383779261</v>
      </c>
      <c r="W6" t="n">
        <v>84.69804754559225</v>
      </c>
    </row>
  </sheetData>
  <mergeCells count="1">
    <mergeCell ref="C2:W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2">
    <outlinePr summaryBelow="1" summaryRight="1"/>
    <pageSetUpPr/>
  </sheetPr>
  <dimension ref="A1:B16"/>
  <sheetViews>
    <sheetView topLeftCell="A37" workbookViewId="0">
      <selection activeCell="B52" sqref="B52"/>
    </sheetView>
  </sheetViews>
  <sheetFormatPr baseColWidth="8" defaultRowHeight="14.4"/>
  <cols>
    <col width="17.44140625" bestFit="1" customWidth="1" min="1" max="1"/>
    <col width="25.5546875" bestFit="1" customWidth="1" min="2" max="2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Active Power [MW]</t>
        </is>
      </c>
    </row>
    <row r="5">
      <c r="A5" s="9" t="n">
        <v>0</v>
      </c>
      <c r="B5" t="n">
        <v>1000</v>
      </c>
    </row>
    <row r="6">
      <c r="A6" s="9" t="n">
        <v>1</v>
      </c>
      <c r="B6" t="n">
        <v>1100</v>
      </c>
    </row>
    <row r="7">
      <c r="A7" s="9" t="n">
        <v>2</v>
      </c>
      <c r="B7" t="n">
        <v>1210</v>
      </c>
    </row>
    <row r="8">
      <c r="A8" s="9" t="n">
        <v>3</v>
      </c>
      <c r="B8" t="n">
        <v>1331</v>
      </c>
    </row>
    <row r="9">
      <c r="A9" s="9" t="n">
        <v>4</v>
      </c>
      <c r="B9" t="n">
        <v>1464.100000000001</v>
      </c>
    </row>
    <row r="10">
      <c r="A10" s="9" t="n">
        <v>5</v>
      </c>
      <c r="B10" t="n">
        <v>1610.510000000001</v>
      </c>
    </row>
    <row r="11">
      <c r="A11" s="9" t="n">
        <v>6</v>
      </c>
      <c r="B11" t="n">
        <v>1771.561000000001</v>
      </c>
    </row>
    <row r="12">
      <c r="A12" s="9" t="n">
        <v>7</v>
      </c>
      <c r="B12" t="n">
        <v>1948.717100000001</v>
      </c>
    </row>
    <row r="13">
      <c r="A13" s="9" t="n">
        <v>8</v>
      </c>
      <c r="B13" t="n">
        <v>2143.588810000002</v>
      </c>
    </row>
    <row r="14">
      <c r="A14" s="9" t="n">
        <v>9</v>
      </c>
      <c r="B14" t="n">
        <v>2357.947691000002</v>
      </c>
    </row>
    <row r="15">
      <c r="A15" s="9" t="n">
        <v>10</v>
      </c>
      <c r="B15" t="n">
        <v>2593.742460100002</v>
      </c>
    </row>
    <row r="16">
      <c r="A16" s="9" t="inlineStr">
        <is>
          <t>Grand Total</t>
        </is>
      </c>
      <c r="B16" t="n">
        <v>18531.16706110001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5">
    <outlinePr summaryBelow="1" summaryRight="1"/>
    <pageSetUpPr/>
  </sheetPr>
  <dimension ref="B1:I17"/>
  <sheetViews>
    <sheetView workbookViewId="0">
      <selection activeCell="B3" sqref="B3"/>
    </sheetView>
  </sheetViews>
  <sheetFormatPr baseColWidth="8" defaultRowHeight="14.4"/>
  <cols>
    <col width="26" bestFit="1" customWidth="1" min="2" max="2"/>
    <col width="16.33203125" bestFit="1" customWidth="1" min="3" max="3"/>
    <col width="12.44140625" bestFit="1" customWidth="1" min="4" max="4"/>
    <col width="17.44140625" bestFit="1" customWidth="1" min="5" max="5"/>
    <col width="12.44140625" bestFit="1" customWidth="1" min="6" max="6"/>
    <col width="13.33203125" bestFit="1" customWidth="1" min="7" max="7"/>
    <col width="12.44140625" bestFit="1" customWidth="1" min="8" max="9"/>
  </cols>
  <sheetData>
    <row r="1">
      <c r="B1" s="8" t="inlineStr">
        <is>
          <t>Zone</t>
        </is>
      </c>
      <c r="C1" t="inlineStr">
        <is>
          <t>(All)</t>
        </is>
      </c>
      <c r="E1" s="8" t="inlineStr">
        <is>
          <t>Voltage Level [kV]</t>
        </is>
      </c>
      <c r="F1" t="inlineStr">
        <is>
          <t>(All)</t>
        </is>
      </c>
    </row>
    <row r="3">
      <c r="B3" s="8" t="inlineStr">
        <is>
          <t>Sum of  Active Power [MW]</t>
        </is>
      </c>
      <c r="C3" s="8" t="inlineStr">
        <is>
          <t>Column Labels</t>
        </is>
      </c>
    </row>
    <row r="4">
      <c r="C4" t="inlineStr">
        <is>
          <t>Coal</t>
        </is>
      </c>
      <c r="D4" t="inlineStr">
        <is>
          <t>Coal Total</t>
        </is>
      </c>
      <c r="E4" t="inlineStr">
        <is>
          <t>NG</t>
        </is>
      </c>
      <c r="F4" t="inlineStr">
        <is>
          <t>NG Total</t>
        </is>
      </c>
      <c r="G4" t="inlineStr">
        <is>
          <t>Wind</t>
        </is>
      </c>
      <c r="H4" t="inlineStr">
        <is>
          <t>Wind Total</t>
        </is>
      </c>
      <c r="I4" t="inlineStr">
        <is>
          <t>Grand Total</t>
        </is>
      </c>
    </row>
    <row r="5">
      <c r="B5" s="8" t="inlineStr">
        <is>
          <t>Row Labels</t>
        </is>
      </c>
      <c r="C5" t="inlineStr">
        <is>
          <t>Steam Turbine</t>
        </is>
      </c>
      <c r="E5" t="inlineStr">
        <is>
          <t>Gas Turbine</t>
        </is>
      </c>
      <c r="G5" t="inlineStr">
        <is>
          <t>Wind Turbine</t>
        </is>
      </c>
    </row>
    <row r="6">
      <c r="B6" s="9" t="n">
        <v>0</v>
      </c>
      <c r="C6" t="n">
        <v>40</v>
      </c>
      <c r="D6" t="n">
        <v>40</v>
      </c>
      <c r="E6" t="n">
        <v>323.49</v>
      </c>
      <c r="F6" t="n">
        <v>323.49</v>
      </c>
      <c r="G6" t="n">
        <v>466.51</v>
      </c>
      <c r="H6" t="n">
        <v>466.51</v>
      </c>
      <c r="I6" t="n">
        <v>830</v>
      </c>
    </row>
    <row r="7">
      <c r="B7" s="9" t="n">
        <v>1</v>
      </c>
      <c r="C7" t="n">
        <v>44</v>
      </c>
      <c r="D7" t="n">
        <v>44</v>
      </c>
      <c r="E7" t="n">
        <v>355.8390000000001</v>
      </c>
      <c r="F7" t="n">
        <v>355.8390000000001</v>
      </c>
      <c r="G7" t="n">
        <v>513.1610000000001</v>
      </c>
      <c r="H7" t="n">
        <v>513.1610000000001</v>
      </c>
      <c r="I7" t="n">
        <v>913.0000000000001</v>
      </c>
    </row>
    <row r="8">
      <c r="B8" s="9" t="n">
        <v>2</v>
      </c>
      <c r="C8" t="n">
        <v>48.40000000000001</v>
      </c>
      <c r="D8" t="n">
        <v>48.40000000000001</v>
      </c>
      <c r="E8" t="n">
        <v>391.4229000000001</v>
      </c>
      <c r="F8" t="n">
        <v>391.4229000000001</v>
      </c>
      <c r="G8" t="n">
        <v>564.4771000000001</v>
      </c>
      <c r="H8" t="n">
        <v>564.4771000000001</v>
      </c>
      <c r="I8" t="n">
        <v>1004.3</v>
      </c>
    </row>
    <row r="9">
      <c r="B9" s="9" t="n">
        <v>3</v>
      </c>
      <c r="C9" t="n">
        <v>53.24000000000001</v>
      </c>
      <c r="D9" t="n">
        <v>53.24000000000001</v>
      </c>
      <c r="E9" t="n">
        <v>430.5651900000001</v>
      </c>
      <c r="F9" t="n">
        <v>430.5651900000001</v>
      </c>
      <c r="G9" t="n">
        <v>620.9248100000001</v>
      </c>
      <c r="H9" t="n">
        <v>620.9248100000001</v>
      </c>
      <c r="I9" t="n">
        <v>1104.73</v>
      </c>
    </row>
    <row r="10">
      <c r="B10" s="9" t="n">
        <v>4</v>
      </c>
      <c r="C10" t="n">
        <v>58.56400000000001</v>
      </c>
      <c r="D10" t="n">
        <v>58.56400000000001</v>
      </c>
      <c r="E10" t="n">
        <v>473.6217090000002</v>
      </c>
      <c r="F10" t="n">
        <v>473.6217090000002</v>
      </c>
      <c r="G10" t="n">
        <v>683.0172910000001</v>
      </c>
      <c r="H10" t="n">
        <v>683.0172910000001</v>
      </c>
      <c r="I10" t="n">
        <v>1215.203</v>
      </c>
    </row>
    <row r="11">
      <c r="B11" s="9" t="n">
        <v>5</v>
      </c>
      <c r="C11" t="n">
        <v>64.42040000000001</v>
      </c>
      <c r="D11" t="n">
        <v>64.42040000000001</v>
      </c>
      <c r="E11" t="n">
        <v>520.9838799000003</v>
      </c>
      <c r="F11" t="n">
        <v>520.9838799000003</v>
      </c>
      <c r="G11" t="n">
        <v>751.3190201000002</v>
      </c>
      <c r="H11" t="n">
        <v>751.3190201000002</v>
      </c>
      <c r="I11" t="n">
        <v>1336.723300000001</v>
      </c>
    </row>
    <row r="12">
      <c r="B12" s="9" t="n">
        <v>6</v>
      </c>
      <c r="C12" t="n">
        <v>70.86244000000002</v>
      </c>
      <c r="D12" t="n">
        <v>70.86244000000002</v>
      </c>
      <c r="E12" t="n">
        <v>573.0822678900004</v>
      </c>
      <c r="F12" t="n">
        <v>573.0822678900004</v>
      </c>
      <c r="G12" t="n">
        <v>826.4509221100003</v>
      </c>
      <c r="H12" t="n">
        <v>826.4509221100003</v>
      </c>
      <c r="I12" t="n">
        <v>1470.395630000001</v>
      </c>
    </row>
    <row r="13">
      <c r="B13" s="9" t="n">
        <v>7</v>
      </c>
      <c r="C13" t="n">
        <v>77.94868400000003</v>
      </c>
      <c r="D13" t="n">
        <v>77.94868400000003</v>
      </c>
      <c r="E13" t="n">
        <v>630.3904946790004</v>
      </c>
      <c r="F13" t="n">
        <v>630.3904946790004</v>
      </c>
      <c r="G13" t="n">
        <v>909.0960143210004</v>
      </c>
      <c r="H13" t="n">
        <v>909.0960143210004</v>
      </c>
      <c r="I13" t="n">
        <v>1617.435193000001</v>
      </c>
    </row>
    <row r="14">
      <c r="B14" s="9" t="n">
        <v>8</v>
      </c>
      <c r="C14" t="n">
        <v>85.74355240000004</v>
      </c>
      <c r="D14" t="n">
        <v>85.74355240000004</v>
      </c>
      <c r="E14" t="n">
        <v>693.4295441469005</v>
      </c>
      <c r="F14" t="n">
        <v>693.4295441469005</v>
      </c>
      <c r="G14" t="n">
        <v>1000.005615753101</v>
      </c>
      <c r="H14" t="n">
        <v>1000.005615753101</v>
      </c>
      <c r="I14" t="n">
        <v>1779.178712300001</v>
      </c>
    </row>
    <row r="15">
      <c r="B15" s="9" t="n">
        <v>9</v>
      </c>
      <c r="C15" t="n">
        <v>94.31790764000006</v>
      </c>
      <c r="D15" t="n">
        <v>94.31790764000006</v>
      </c>
      <c r="E15" t="n">
        <v>762.7724985615906</v>
      </c>
      <c r="F15" t="n">
        <v>762.7724985615906</v>
      </c>
      <c r="G15" t="n">
        <v>1100.006177328411</v>
      </c>
      <c r="H15" t="n">
        <v>1100.006177328411</v>
      </c>
      <c r="I15" t="n">
        <v>1957.096583530001</v>
      </c>
    </row>
    <row r="16">
      <c r="B16" s="9" t="n">
        <v>10</v>
      </c>
      <c r="C16" t="n">
        <v>103.7496984040001</v>
      </c>
      <c r="D16" t="n">
        <v>103.7496984040001</v>
      </c>
      <c r="E16" t="n">
        <v>839.0497484177497</v>
      </c>
      <c r="F16" t="n">
        <v>839.0497484177497</v>
      </c>
      <c r="G16" t="n">
        <v>1210.006795061252</v>
      </c>
      <c r="H16" t="n">
        <v>1210.006795061252</v>
      </c>
      <c r="I16" t="n">
        <v>2152.806241883001</v>
      </c>
    </row>
    <row r="17">
      <c r="B17" s="9" t="inlineStr">
        <is>
          <t>Grand Total</t>
        </is>
      </c>
      <c r="C17" t="n">
        <v>741.2466824440003</v>
      </c>
      <c r="D17" t="n">
        <v>741.2466824440003</v>
      </c>
      <c r="E17" t="n">
        <v>5994.647232595242</v>
      </c>
      <c r="F17" t="n">
        <v>5994.647232595242</v>
      </c>
      <c r="G17" t="n">
        <v>8644.974745673764</v>
      </c>
      <c r="H17" t="n">
        <v>8644.974745673764</v>
      </c>
      <c r="I17" t="n">
        <v>15380.86866071301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6">
    <outlinePr summaryBelow="1" summaryRight="1"/>
    <pageSetUpPr/>
  </sheetPr>
  <dimension ref="A3:B13"/>
  <sheetViews>
    <sheetView workbookViewId="0">
      <selection activeCell="A1" sqref="A1"/>
    </sheetView>
  </sheetViews>
  <sheetFormatPr baseColWidth="8" defaultRowHeight="14.4"/>
  <cols>
    <col width="17.6640625" bestFit="1" customWidth="1" min="1" max="1"/>
    <col width="26" bestFit="1" customWidth="1" min="2" max="2"/>
    <col width="24.109375" bestFit="1" customWidth="1" min="3" max="3"/>
    <col width="11.33203125" bestFit="1" customWidth="1" min="4" max="5"/>
    <col width="15.109375" bestFit="1" customWidth="1" min="6" max="6"/>
    <col width="18.33203125" bestFit="1" customWidth="1" min="7" max="7"/>
    <col width="11.33203125" bestFit="1" customWidth="1" min="8" max="9"/>
  </cols>
  <sheetData>
    <row r="3">
      <c r="A3" s="8" t="inlineStr">
        <is>
          <t>Row Labels</t>
        </is>
      </c>
      <c r="B3" t="inlineStr">
        <is>
          <t>Sum of  Active Power [MW]</t>
        </is>
      </c>
    </row>
    <row r="4">
      <c r="A4" s="9" t="inlineStr">
        <is>
          <t>Coal</t>
        </is>
      </c>
      <c r="B4" t="n">
        <v>741.2466824440003</v>
      </c>
    </row>
    <row r="5">
      <c r="A5" s="10" t="inlineStr">
        <is>
          <t>Steam Turbine</t>
        </is>
      </c>
      <c r="B5" t="n">
        <v>741.2466824440003</v>
      </c>
    </row>
    <row r="6">
      <c r="A6" s="11" t="n">
        <v>230</v>
      </c>
      <c r="B6" t="n">
        <v>741.2466824440003</v>
      </c>
    </row>
    <row r="7">
      <c r="A7" s="9" t="inlineStr">
        <is>
          <t>NG</t>
        </is>
      </c>
      <c r="B7" t="n">
        <v>5994.647232595242</v>
      </c>
    </row>
    <row r="8">
      <c r="A8" s="10" t="inlineStr">
        <is>
          <t>Gas Turbine</t>
        </is>
      </c>
      <c r="B8" t="n">
        <v>5994.647232595242</v>
      </c>
    </row>
    <row r="9">
      <c r="A9" s="11" t="n">
        <v>230</v>
      </c>
      <c r="B9" t="n">
        <v>5994.647232595242</v>
      </c>
    </row>
    <row r="10">
      <c r="A10" s="9" t="inlineStr">
        <is>
          <t>Wind</t>
        </is>
      </c>
      <c r="B10" t="n">
        <v>8644.974745673764</v>
      </c>
    </row>
    <row r="11">
      <c r="A11" s="10" t="inlineStr">
        <is>
          <t>Wind Turbine</t>
        </is>
      </c>
      <c r="B11" t="n">
        <v>8644.974745673764</v>
      </c>
    </row>
    <row r="12">
      <c r="A12" s="11" t="n">
        <v>110</v>
      </c>
      <c r="B12" t="n">
        <v>8644.974745673764</v>
      </c>
    </row>
    <row r="13">
      <c r="A13" s="9" t="inlineStr">
        <is>
          <t>Grand Total</t>
        </is>
      </c>
      <c r="B13" t="n">
        <v>15380.86866071301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3">
    <outlinePr summaryBelow="1" summaryRight="1"/>
    <pageSetUpPr/>
  </sheetPr>
  <dimension ref="A1:B10"/>
  <sheetViews>
    <sheetView topLeftCell="U17" workbookViewId="0">
      <selection activeCell="AF32" sqref="AF32"/>
    </sheetView>
  </sheetViews>
  <sheetFormatPr baseColWidth="8" defaultRowHeight="14.4"/>
  <cols>
    <col width="13.109375" bestFit="1" customWidth="1" min="1" max="1"/>
    <col width="19.44140625" bestFit="1" customWidth="1" min="2" max="2"/>
  </cols>
  <sheetData>
    <row r="1">
      <c r="A1" s="8" t="inlineStr">
        <is>
          <t>Step</t>
        </is>
      </c>
      <c r="B1" s="9" t="n">
        <v>0</v>
      </c>
    </row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Voltage [p.u]</t>
        </is>
      </c>
    </row>
    <row r="5">
      <c r="A5" s="9" t="n">
        <v>0</v>
      </c>
      <c r="B5" t="n">
        <v>0.9999999999999999</v>
      </c>
    </row>
    <row r="6">
      <c r="A6" s="9" t="n">
        <v>1</v>
      </c>
      <c r="B6" t="n">
        <v>0.9892612371179855</v>
      </c>
    </row>
    <row r="7">
      <c r="A7" s="9" t="n">
        <v>2</v>
      </c>
      <c r="B7" t="n">
        <v>1</v>
      </c>
    </row>
    <row r="8">
      <c r="A8" s="9" t="n">
        <v>3</v>
      </c>
      <c r="B8" t="n">
        <v>1</v>
      </c>
    </row>
    <row r="9">
      <c r="A9" s="9" t="n">
        <v>4</v>
      </c>
      <c r="B9" t="n">
        <v>0.9999999999999999</v>
      </c>
    </row>
    <row r="10">
      <c r="A10" s="9" t="inlineStr">
        <is>
          <t>Grand Total</t>
        </is>
      </c>
      <c r="B10" t="n">
        <v>4.989261237117986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9">
    <outlinePr summaryBelow="1" summaryRight="1"/>
    <pageSetUpPr/>
  </sheetPr>
  <dimension ref="A1:D16"/>
  <sheetViews>
    <sheetView workbookViewId="0">
      <selection activeCell="A1" sqref="A1"/>
    </sheetView>
  </sheetViews>
  <sheetFormatPr baseColWidth="8" defaultRowHeight="14.4"/>
  <cols>
    <col width="17.44140625" bestFit="1" customWidth="1" min="1" max="1"/>
    <col width="25.6640625" bestFit="1" customWidth="1" min="2" max="2"/>
    <col width="29.109375" bestFit="1" customWidth="1" min="3" max="3"/>
    <col width="26.44140625" bestFit="1" customWidth="1" min="4" max="4"/>
    <col width="25.6640625" bestFit="1" customWidth="1" min="5" max="5"/>
    <col width="29.109375" bestFit="1" customWidth="1" min="6" max="6"/>
    <col width="26.44140625" bestFit="1" customWidth="1" min="7" max="7"/>
    <col width="30.6640625" bestFit="1" customWidth="1" min="8" max="8"/>
    <col width="34.33203125" bestFit="1" customWidth="1" min="9" max="9"/>
    <col width="31.44140625" bestFit="1" customWidth="1" min="10" max="10"/>
    <col width="30.6640625" bestFit="1" customWidth="1" min="11" max="11"/>
    <col width="34.33203125" bestFit="1" customWidth="1" min="12" max="12"/>
    <col width="31.44140625" bestFit="1" customWidth="1" min="13" max="13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Max of Loading Percent [%]</t>
        </is>
      </c>
      <c r="C4" t="inlineStr">
        <is>
          <t>Average of Loading Percent [%]</t>
        </is>
      </c>
      <c r="D4" t="inlineStr">
        <is>
          <t>Min of Loading Percent [%]2</t>
        </is>
      </c>
    </row>
    <row r="5">
      <c r="A5" s="9" t="n">
        <v>0</v>
      </c>
      <c r="B5" t="n">
        <v>100.1731638810112</v>
      </c>
      <c r="C5" t="n">
        <v>27.14337412240021</v>
      </c>
      <c r="D5" t="n">
        <v>7.234050190158276e-05</v>
      </c>
    </row>
    <row r="6">
      <c r="A6" s="9" t="n">
        <v>1</v>
      </c>
      <c r="B6" t="n">
        <v>110.1904802691123</v>
      </c>
      <c r="C6" t="n">
        <v>29.85771153464023</v>
      </c>
      <c r="D6" t="n">
        <v>7.957455209174104e-05</v>
      </c>
    </row>
    <row r="7">
      <c r="A7" s="9" t="n">
        <v>2</v>
      </c>
      <c r="B7" t="n">
        <v>121.2095282960236</v>
      </c>
      <c r="C7" t="n">
        <v>32.84348268810426</v>
      </c>
      <c r="D7" t="n">
        <v>8.753200730091515e-05</v>
      </c>
    </row>
    <row r="8">
      <c r="A8" s="9" t="n">
        <v>3</v>
      </c>
      <c r="B8" t="n">
        <v>133.330481125626</v>
      </c>
      <c r="C8" t="n">
        <v>36.12783095691469</v>
      </c>
      <c r="D8" t="n">
        <v>9.628520803100668e-05</v>
      </c>
    </row>
    <row r="9">
      <c r="A9" s="9" t="n">
        <v>4</v>
      </c>
      <c r="B9" t="n">
        <v>146.6635292381886</v>
      </c>
      <c r="C9" t="n">
        <v>39.74061405260616</v>
      </c>
      <c r="D9" t="n">
        <v>0.0001059137288341074</v>
      </c>
    </row>
    <row r="10">
      <c r="A10" s="9" t="n">
        <v>5</v>
      </c>
      <c r="B10" t="n">
        <v>161.3298821620074</v>
      </c>
      <c r="C10" t="n">
        <v>43.71467545786678</v>
      </c>
      <c r="D10" t="n">
        <v>0.0001165051017175181</v>
      </c>
    </row>
    <row r="11">
      <c r="A11" s="9" t="n">
        <v>6</v>
      </c>
      <c r="B11" t="n">
        <v>177.4628703782082</v>
      </c>
      <c r="C11" t="n">
        <v>48.08614300365347</v>
      </c>
      <c r="D11" t="n">
        <v>0.0001281556118892699</v>
      </c>
    </row>
    <row r="12">
      <c r="A12" s="9" t="n">
        <v>7</v>
      </c>
      <c r="B12" t="n">
        <v>195.2091574160291</v>
      </c>
      <c r="C12" t="n">
        <v>52.89475730401882</v>
      </c>
      <c r="D12" t="n">
        <v>0.0001409711730781969</v>
      </c>
    </row>
    <row r="13">
      <c r="A13" s="9" t="n">
        <v>8</v>
      </c>
      <c r="B13" t="n">
        <v>214.730073157632</v>
      </c>
      <c r="C13" t="n">
        <v>58.18423303442071</v>
      </c>
      <c r="D13" t="n">
        <v>0.0001550682903860166</v>
      </c>
    </row>
    <row r="14">
      <c r="A14" s="9" t="n">
        <v>9</v>
      </c>
      <c r="B14" t="n">
        <v>236.2030804733952</v>
      </c>
      <c r="C14" t="n">
        <v>64.00265633786279</v>
      </c>
      <c r="D14" t="n">
        <v>0.0001705751194246183</v>
      </c>
    </row>
    <row r="15">
      <c r="A15" s="9" t="n">
        <v>10</v>
      </c>
      <c r="B15" t="n">
        <v>259.8233885207347</v>
      </c>
      <c r="C15" t="n">
        <v>70.40292197164906</v>
      </c>
      <c r="D15" t="n">
        <v>0.0001876326313670801</v>
      </c>
    </row>
    <row r="16">
      <c r="A16" s="9" t="inlineStr">
        <is>
          <t>Grand Total</t>
        </is>
      </c>
      <c r="B16" t="n">
        <v>259.8233885207347</v>
      </c>
      <c r="C16" t="n">
        <v>45.72712731492156</v>
      </c>
      <c r="D16" t="n">
        <v>7.234050190158276e-05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0">
    <outlinePr summaryBelow="1" summaryRight="1"/>
    <pageSetUpPr/>
  </sheetPr>
  <dimension ref="A1:B16"/>
  <sheetViews>
    <sheetView workbookViewId="0">
      <selection activeCell="A1" sqref="A1"/>
    </sheetView>
  </sheetViews>
  <sheetFormatPr baseColWidth="8" defaultRowHeight="14.4"/>
  <cols>
    <col width="16.88671875" bestFit="1" customWidth="1" min="1" max="1"/>
    <col width="18.6640625" bestFit="1" customWidth="1" min="2" max="2"/>
    <col width="12.44140625" bestFit="1" customWidth="1" min="3" max="5"/>
    <col width="20.6640625" bestFit="1" customWidth="1" min="6" max="6"/>
    <col width="21.88671875" bestFit="1" customWidth="1" min="7" max="7"/>
    <col width="24.33203125" bestFit="1" customWidth="1" min="8" max="8"/>
    <col width="25.33203125" bestFit="1" customWidth="1" min="9" max="9"/>
  </cols>
  <sheetData>
    <row r="1">
      <c r="A1" s="8" t="inlineStr">
        <is>
          <t>Zone</t>
        </is>
      </c>
      <c r="B1" t="inlineStr">
        <is>
          <t>(All)</t>
        </is>
      </c>
    </row>
    <row r="2">
      <c r="A2" s="8" t="inlineStr">
        <is>
          <t>Voltage Level [kV]</t>
        </is>
      </c>
      <c r="B2" t="inlineStr">
        <is>
          <t>(All)</t>
        </is>
      </c>
    </row>
    <row r="4">
      <c r="A4" s="8" t="inlineStr">
        <is>
          <t>Row Labels</t>
        </is>
      </c>
      <c r="B4" t="inlineStr">
        <is>
          <t>Sum of Losses [MW]</t>
        </is>
      </c>
    </row>
    <row r="5">
      <c r="A5" s="9" t="n">
        <v>0</v>
      </c>
      <c r="B5" t="n">
        <v>5.027180043283985</v>
      </c>
    </row>
    <row r="6">
      <c r="A6" s="9" t="n">
        <v>1</v>
      </c>
      <c r="B6" t="n">
        <v>5.529898047612384</v>
      </c>
    </row>
    <row r="7">
      <c r="A7" s="9" t="n">
        <v>2</v>
      </c>
      <c r="B7" t="n">
        <v>6.082887852373622</v>
      </c>
    </row>
    <row r="8">
      <c r="A8" s="9" t="n">
        <v>3</v>
      </c>
      <c r="B8" t="n">
        <v>6.691176637610985</v>
      </c>
    </row>
    <row r="9">
      <c r="A9" s="9" t="n">
        <v>4</v>
      </c>
      <c r="B9" t="n">
        <v>7.360294301372084</v>
      </c>
    </row>
    <row r="10">
      <c r="A10" s="9" t="n">
        <v>5</v>
      </c>
      <c r="B10" t="n">
        <v>8.096323731509294</v>
      </c>
    </row>
    <row r="11">
      <c r="A11" s="9" t="n">
        <v>6</v>
      </c>
      <c r="B11" t="n">
        <v>8.905956104660223</v>
      </c>
    </row>
    <row r="12">
      <c r="A12" s="9" t="n">
        <v>7</v>
      </c>
      <c r="B12" t="n">
        <v>9.796551715126247</v>
      </c>
    </row>
    <row r="13">
      <c r="A13" s="9" t="n">
        <v>8</v>
      </c>
      <c r="B13" t="n">
        <v>10.77620688663887</v>
      </c>
    </row>
    <row r="14">
      <c r="A14" s="9" t="n">
        <v>9</v>
      </c>
      <c r="B14" t="n">
        <v>11.85382757530276</v>
      </c>
    </row>
    <row r="15">
      <c r="A15" s="9" t="n">
        <v>10</v>
      </c>
      <c r="B15" t="n">
        <v>13.03921033283304</v>
      </c>
    </row>
    <row r="16">
      <c r="A16" s="9" t="inlineStr">
        <is>
          <t>Grand Total</t>
        </is>
      </c>
      <c r="B16" t="n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2:D18"/>
  <sheetViews>
    <sheetView workbookViewId="0">
      <selection activeCell="A4" sqref="A4"/>
    </sheetView>
  </sheetViews>
  <sheetFormatPr baseColWidth="8" defaultRowHeight="14.4"/>
  <cols>
    <col width="19.33203125" bestFit="1" customWidth="1" min="1" max="1"/>
    <col width="16.33203125" bestFit="1" customWidth="1" min="2" max="2"/>
    <col width="12.44140625" bestFit="1" customWidth="1" min="3" max="4"/>
  </cols>
  <sheetData>
    <row r="2">
      <c r="A2" s="8" t="inlineStr">
        <is>
          <t>Zone</t>
        </is>
      </c>
      <c r="B2" t="inlineStr">
        <is>
          <t>(All)</t>
        </is>
      </c>
    </row>
    <row r="4">
      <c r="A4" s="8" t="inlineStr">
        <is>
          <t>Sum of Losses [MW]</t>
        </is>
      </c>
      <c r="B4" s="8" t="inlineStr">
        <is>
          <t>Column Labels</t>
        </is>
      </c>
    </row>
    <row r="5">
      <c r="B5" t="n">
        <v>10</v>
      </c>
      <c r="C5" t="inlineStr">
        <is>
          <t>10 Total</t>
        </is>
      </c>
      <c r="D5" t="inlineStr">
        <is>
          <t>Grand Total</t>
        </is>
      </c>
    </row>
    <row r="6">
      <c r="A6" s="8" t="inlineStr">
        <is>
          <t>Row Labels</t>
        </is>
      </c>
      <c r="B6" t="n">
        <v>0.4</v>
      </c>
    </row>
    <row r="7">
      <c r="A7" s="9" t="n">
        <v>0</v>
      </c>
      <c r="B7" t="n">
        <v>0.004240566305308572</v>
      </c>
      <c r="C7" t="n">
        <v>0.004240566305308572</v>
      </c>
      <c r="D7" t="n">
        <v>0.004240566305308572</v>
      </c>
    </row>
    <row r="8">
      <c r="A8" s="9" t="n">
        <v>1</v>
      </c>
      <c r="B8" t="n">
        <v>0.00706761050884762</v>
      </c>
      <c r="C8" t="n">
        <v>0.00706761050884762</v>
      </c>
      <c r="D8" t="n">
        <v>0.00706761050884762</v>
      </c>
    </row>
    <row r="9">
      <c r="A9" s="9" t="n">
        <v>2</v>
      </c>
      <c r="B9" t="n">
        <v>0.00706761050884762</v>
      </c>
      <c r="C9" t="n">
        <v>0.00706761050884762</v>
      </c>
      <c r="D9" t="n">
        <v>0.00706761050884762</v>
      </c>
    </row>
    <row r="10">
      <c r="A10" s="9" t="n">
        <v>3</v>
      </c>
      <c r="B10" t="n">
        <v>0.008481132610617144</v>
      </c>
      <c r="C10" t="n">
        <v>0.008481132610617144</v>
      </c>
      <c r="D10" t="n">
        <v>0.008481132610617144</v>
      </c>
    </row>
    <row r="11">
      <c r="A11" s="9" t="n">
        <v>4</v>
      </c>
      <c r="B11" t="n">
        <v>0.01017735913274057</v>
      </c>
      <c r="C11" t="n">
        <v>0.01017735913274057</v>
      </c>
      <c r="D11" t="n">
        <v>0.01017735913274057</v>
      </c>
    </row>
    <row r="12">
      <c r="A12" s="9" t="n">
        <v>5</v>
      </c>
      <c r="B12" t="n">
        <v>0.01221283095928868</v>
      </c>
      <c r="C12" t="n">
        <v>0.01221283095928868</v>
      </c>
      <c r="D12" t="n">
        <v>0.01221283095928868</v>
      </c>
    </row>
    <row r="13">
      <c r="A13" s="9" t="n">
        <v>6</v>
      </c>
      <c r="B13" t="n">
        <v>0.01465539715114642</v>
      </c>
      <c r="C13" t="n">
        <v>0.01465539715114642</v>
      </c>
      <c r="D13" t="n">
        <v>0.01465539715114642</v>
      </c>
    </row>
    <row r="14">
      <c r="A14" s="9" t="n">
        <v>7</v>
      </c>
      <c r="B14" t="n">
        <v>0.0175864765813757</v>
      </c>
      <c r="C14" t="n">
        <v>0.0175864765813757</v>
      </c>
      <c r="D14" t="n">
        <v>0.0175864765813757</v>
      </c>
    </row>
    <row r="15">
      <c r="A15" s="9" t="n">
        <v>8</v>
      </c>
      <c r="B15" t="n">
        <v>0.02110377189765084</v>
      </c>
      <c r="C15" t="n">
        <v>0.02110377189765084</v>
      </c>
      <c r="D15" t="n">
        <v>0.02110377189765084</v>
      </c>
    </row>
    <row r="16">
      <c r="A16" s="9" t="n">
        <v>9</v>
      </c>
      <c r="B16" t="n">
        <v>0.02532452627718101</v>
      </c>
      <c r="C16" t="n">
        <v>0.02532452627718101</v>
      </c>
      <c r="D16" t="n">
        <v>0.02532452627718101</v>
      </c>
    </row>
    <row r="17">
      <c r="A17" s="9" t="n">
        <v>10</v>
      </c>
      <c r="B17" t="n">
        <v>0.03038943153261721</v>
      </c>
      <c r="C17" t="n">
        <v>0.03038943153261721</v>
      </c>
      <c r="D17" t="n">
        <v>0.03038943153261721</v>
      </c>
    </row>
    <row r="18">
      <c r="A18" s="9" t="inlineStr">
        <is>
          <t>Grand Total</t>
        </is>
      </c>
      <c r="B18" t="n">
        <v>0.1583067134656214</v>
      </c>
      <c r="C18" t="n">
        <v>0.1583067134656214</v>
      </c>
      <c r="D18" t="n">
        <v>0.1583067134656214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2:J19"/>
  <sheetViews>
    <sheetView workbookViewId="0">
      <selection activeCell="I29" sqref="I29"/>
    </sheetView>
  </sheetViews>
  <sheetFormatPr baseColWidth="8" defaultRowHeight="14.4"/>
  <cols>
    <col width="13.109375" bestFit="1" customWidth="1" min="1" max="1"/>
    <col width="25.6640625" bestFit="1" customWidth="1" min="2" max="2"/>
    <col width="12" bestFit="1" customWidth="1" min="3" max="3"/>
    <col width="30.33203125" bestFit="1" customWidth="1" min="4" max="4"/>
    <col width="12" bestFit="1" customWidth="1" min="5" max="5"/>
    <col width="26.44140625" bestFit="1" customWidth="1" min="6" max="6"/>
    <col width="12" bestFit="1" customWidth="1" min="7" max="7"/>
    <col width="30.6640625" bestFit="1" customWidth="1" min="8" max="8"/>
    <col width="35.33203125" bestFit="1" customWidth="1" min="9" max="9"/>
    <col width="31.44140625" bestFit="1" customWidth="1" min="10" max="10"/>
  </cols>
  <sheetData>
    <row r="2">
      <c r="A2" s="8" t="inlineStr">
        <is>
          <t>Zone</t>
        </is>
      </c>
      <c r="B2" t="inlineStr">
        <is>
          <t>(All)</t>
        </is>
      </c>
    </row>
    <row r="4">
      <c r="B4" s="8" t="inlineStr">
        <is>
          <t>Column Labels</t>
        </is>
      </c>
    </row>
    <row r="5">
      <c r="B5" t="inlineStr">
        <is>
          <t>Max of Loading Percent [%]</t>
        </is>
      </c>
      <c r="D5" t="inlineStr">
        <is>
          <t>Average of Loading Percent [%]2</t>
        </is>
      </c>
      <c r="F5" t="inlineStr">
        <is>
          <t>Min of Loading Percent [%]3</t>
        </is>
      </c>
      <c r="H5" t="inlineStr">
        <is>
          <t>Total Max of Loading Percent [%]</t>
        </is>
      </c>
      <c r="I5" t="inlineStr">
        <is>
          <t>Total Average of Loading Percent [%]2</t>
        </is>
      </c>
      <c r="J5" t="inlineStr">
        <is>
          <t>Total Min of Loading Percent [%]3</t>
        </is>
      </c>
    </row>
    <row r="6">
      <c r="B6" t="n">
        <v>10</v>
      </c>
      <c r="C6" t="inlineStr">
        <is>
          <t>10 Total</t>
        </is>
      </c>
      <c r="D6" t="n">
        <v>10</v>
      </c>
      <c r="E6" t="inlineStr">
        <is>
          <t>10 Total</t>
        </is>
      </c>
      <c r="F6" t="n">
        <v>10</v>
      </c>
      <c r="G6" t="inlineStr">
        <is>
          <t>10 Total</t>
        </is>
      </c>
    </row>
    <row r="7">
      <c r="A7" s="8" t="inlineStr">
        <is>
          <t>Row Labels</t>
        </is>
      </c>
      <c r="B7" t="n">
        <v>0.4</v>
      </c>
      <c r="D7" t="n">
        <v>0.4</v>
      </c>
      <c r="F7" t="n">
        <v>0.4</v>
      </c>
    </row>
    <row r="8">
      <c r="A8" s="9" t="n">
        <v>0</v>
      </c>
      <c r="B8" t="n">
        <v>52.42563832807324</v>
      </c>
      <c r="C8" t="n">
        <v>52.42563832807324</v>
      </c>
      <c r="D8" t="n">
        <v>52.42563832807324</v>
      </c>
      <c r="E8" t="n">
        <v>52.42563832807324</v>
      </c>
      <c r="F8" t="n">
        <v>52.42563832807324</v>
      </c>
      <c r="G8" t="n">
        <v>52.42563832807324</v>
      </c>
      <c r="H8" t="n">
        <v>52.42563832807324</v>
      </c>
      <c r="I8" t="n">
        <v>52.42563832807324</v>
      </c>
      <c r="J8" t="n">
        <v>52.42563832807324</v>
      </c>
    </row>
    <row r="9">
      <c r="A9" s="9" t="n">
        <v>1</v>
      </c>
      <c r="B9" t="n">
        <v>52.42563832807324</v>
      </c>
      <c r="C9" t="n">
        <v>52.42563832807324</v>
      </c>
      <c r="D9" t="n">
        <v>52.42563832807324</v>
      </c>
      <c r="E9" t="n">
        <v>52.42563832807324</v>
      </c>
      <c r="F9" t="n">
        <v>52.42563832807324</v>
      </c>
      <c r="G9" t="n">
        <v>52.42563832807324</v>
      </c>
      <c r="H9" t="n">
        <v>52.42563832807324</v>
      </c>
      <c r="I9" t="n">
        <v>52.42563832807324</v>
      </c>
      <c r="J9" t="n">
        <v>52.42563832807324</v>
      </c>
    </row>
    <row r="10">
      <c r="A10" s="9" t="n">
        <v>2</v>
      </c>
      <c r="B10" t="n">
        <v>52.42563832807324</v>
      </c>
      <c r="C10" t="n">
        <v>52.42563832807324</v>
      </c>
      <c r="D10" t="n">
        <v>52.42563832807324</v>
      </c>
      <c r="E10" t="n">
        <v>52.42563832807324</v>
      </c>
      <c r="F10" t="n">
        <v>52.42563832807324</v>
      </c>
      <c r="G10" t="n">
        <v>52.42563832807324</v>
      </c>
      <c r="H10" t="n">
        <v>52.42563832807324</v>
      </c>
      <c r="I10" t="n">
        <v>52.42563832807324</v>
      </c>
      <c r="J10" t="n">
        <v>52.42563832807324</v>
      </c>
    </row>
    <row r="11">
      <c r="A11" s="9" t="n">
        <v>3</v>
      </c>
      <c r="B11" t="n">
        <v>56.4256383280732</v>
      </c>
      <c r="C11" t="n">
        <v>56.4256383280732</v>
      </c>
      <c r="D11" t="n">
        <v>54.42563832807321</v>
      </c>
      <c r="E11" t="n">
        <v>54.42563832807321</v>
      </c>
      <c r="F11" t="n">
        <v>52.42563832807324</v>
      </c>
      <c r="G11" t="n">
        <v>52.42563832807324</v>
      </c>
      <c r="H11" t="n">
        <v>56.4256383280732</v>
      </c>
      <c r="I11" t="n">
        <v>54.42563832807321</v>
      </c>
      <c r="J11" t="n">
        <v>52.42563832807324</v>
      </c>
    </row>
    <row r="12">
      <c r="A12" s="9" t="n">
        <v>4</v>
      </c>
      <c r="B12" t="n">
        <v>61.4256383280732</v>
      </c>
      <c r="C12" t="n">
        <v>61.4256383280732</v>
      </c>
      <c r="D12" t="n">
        <v>59.42563832807319</v>
      </c>
      <c r="E12" t="n">
        <v>59.42563832807319</v>
      </c>
      <c r="F12" t="n">
        <v>57.4256383280732</v>
      </c>
      <c r="G12" t="n">
        <v>57.4256383280732</v>
      </c>
      <c r="H12" t="n">
        <v>61.4256383280732</v>
      </c>
      <c r="I12" t="n">
        <v>59.42563832807319</v>
      </c>
      <c r="J12" t="n">
        <v>57.4256383280732</v>
      </c>
    </row>
    <row r="13">
      <c r="A13" s="9" t="n">
        <v>5</v>
      </c>
      <c r="B13" t="n">
        <v>66.42563832807321</v>
      </c>
      <c r="C13" t="n">
        <v>66.42563832807321</v>
      </c>
      <c r="D13" t="n">
        <v>64.42563832807321</v>
      </c>
      <c r="E13" t="n">
        <v>64.42563832807321</v>
      </c>
      <c r="F13" t="n">
        <v>62.4256383280732</v>
      </c>
      <c r="G13" t="n">
        <v>62.4256383280732</v>
      </c>
      <c r="H13" t="n">
        <v>66.42563832807321</v>
      </c>
      <c r="I13" t="n">
        <v>64.42563832807321</v>
      </c>
      <c r="J13" t="n">
        <v>62.4256383280732</v>
      </c>
    </row>
    <row r="14">
      <c r="A14" s="9" t="n">
        <v>6</v>
      </c>
      <c r="B14" t="n">
        <v>71.42563832807321</v>
      </c>
      <c r="C14" t="n">
        <v>71.42563832807321</v>
      </c>
      <c r="D14" t="n">
        <v>69.42563832807321</v>
      </c>
      <c r="E14" t="n">
        <v>69.42563832807321</v>
      </c>
      <c r="F14" t="n">
        <v>67.42563832807321</v>
      </c>
      <c r="G14" t="n">
        <v>67.42563832807321</v>
      </c>
      <c r="H14" t="n">
        <v>71.42563832807321</v>
      </c>
      <c r="I14" t="n">
        <v>69.42563832807321</v>
      </c>
      <c r="J14" t="n">
        <v>67.42563832807321</v>
      </c>
    </row>
    <row r="15">
      <c r="A15" s="9" t="n">
        <v>7</v>
      </c>
      <c r="B15" t="n">
        <v>76.42563832807321</v>
      </c>
      <c r="C15" t="n">
        <v>76.42563832807321</v>
      </c>
      <c r="D15" t="n">
        <v>74.42563832807321</v>
      </c>
      <c r="E15" t="n">
        <v>74.42563832807321</v>
      </c>
      <c r="F15" t="n">
        <v>72.42563832807321</v>
      </c>
      <c r="G15" t="n">
        <v>72.42563832807321</v>
      </c>
      <c r="H15" t="n">
        <v>76.42563832807321</v>
      </c>
      <c r="I15" t="n">
        <v>74.42563832807321</v>
      </c>
      <c r="J15" t="n">
        <v>72.42563832807321</v>
      </c>
    </row>
    <row r="16">
      <c r="A16" s="9" t="n">
        <v>8</v>
      </c>
      <c r="B16" t="n">
        <v>81.42563832807321</v>
      </c>
      <c r="C16" t="n">
        <v>81.42563832807321</v>
      </c>
      <c r="D16" t="n">
        <v>79.42563832807321</v>
      </c>
      <c r="E16" t="n">
        <v>79.42563832807321</v>
      </c>
      <c r="F16" t="n">
        <v>77.42563832807321</v>
      </c>
      <c r="G16" t="n">
        <v>77.42563832807321</v>
      </c>
      <c r="H16" t="n">
        <v>81.42563832807321</v>
      </c>
      <c r="I16" t="n">
        <v>79.42563832807321</v>
      </c>
      <c r="J16" t="n">
        <v>77.42563832807321</v>
      </c>
    </row>
    <row r="17">
      <c r="A17" s="9" t="n">
        <v>9</v>
      </c>
      <c r="B17" t="n">
        <v>86.42563832807321</v>
      </c>
      <c r="C17" t="n">
        <v>86.42563832807321</v>
      </c>
      <c r="D17" t="n">
        <v>84.42563832807321</v>
      </c>
      <c r="E17" t="n">
        <v>84.42563832807321</v>
      </c>
      <c r="F17" t="n">
        <v>82.42563832807321</v>
      </c>
      <c r="G17" t="n">
        <v>82.42563832807321</v>
      </c>
      <c r="H17" t="n">
        <v>86.42563832807321</v>
      </c>
      <c r="I17" t="n">
        <v>84.42563832807321</v>
      </c>
      <c r="J17" t="n">
        <v>82.42563832807321</v>
      </c>
    </row>
    <row r="18">
      <c r="A18" s="9" t="n">
        <v>10</v>
      </c>
      <c r="B18" t="n">
        <v>91.42563832807321</v>
      </c>
      <c r="C18" t="n">
        <v>91.42563832807321</v>
      </c>
      <c r="D18" t="n">
        <v>89.42563832807321</v>
      </c>
      <c r="E18" t="n">
        <v>89.42563832807321</v>
      </c>
      <c r="F18" t="n">
        <v>87.42563832807321</v>
      </c>
      <c r="G18" t="n">
        <v>87.42563832807321</v>
      </c>
      <c r="H18" t="n">
        <v>91.42563832807321</v>
      </c>
      <c r="I18" t="n">
        <v>89.42563832807321</v>
      </c>
      <c r="J18" t="n">
        <v>87.42563832807321</v>
      </c>
    </row>
    <row r="19">
      <c r="A19" s="9" t="inlineStr">
        <is>
          <t>Grand Total</t>
        </is>
      </c>
      <c r="B19" t="n">
        <v>91.42563832807321</v>
      </c>
      <c r="C19" t="n">
        <v>91.42563832807321</v>
      </c>
      <c r="D19" t="n">
        <v>67.14261946014861</v>
      </c>
      <c r="E19" t="n">
        <v>67.14261946014868</v>
      </c>
      <c r="F19" t="n">
        <v>52.42563832807324</v>
      </c>
      <c r="G19" t="n">
        <v>52.42563832807324</v>
      </c>
      <c r="H19" t="n">
        <v>91.42563832807321</v>
      </c>
      <c r="I19" t="n">
        <v>67.14261946014868</v>
      </c>
      <c r="J19" t="n">
        <v>52.42563832807324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2023-01-06T13:11:07Z</dcterms:modified>
  <cp:lastModifiedBy>Martin Oviedo</cp:lastModifiedBy>
</cp:coreProperties>
</file>