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10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3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5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6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Dashboard" sheetId="2" state="visible" r:id="rId2"/>
    <sheet xmlns:r="http://schemas.openxmlformats.org/officeDocument/2006/relationships" name="Demand" sheetId="3" state="visible" r:id="rId3"/>
    <sheet xmlns:r="http://schemas.openxmlformats.org/officeDocument/2006/relationships" name="Generation" sheetId="4" state="visible" r:id="rId4"/>
    <sheet xmlns:r="http://schemas.openxmlformats.org/officeDocument/2006/relationships" name="Buses" sheetId="5" state="visible" r:id="rId5"/>
    <sheet xmlns:r="http://schemas.openxmlformats.org/officeDocument/2006/relationships" name="Lines" sheetId="6" state="visible" r:id="rId6"/>
    <sheet xmlns:r="http://schemas.openxmlformats.org/officeDocument/2006/relationships" name="Trafos" sheetId="7" state="visible" r:id="rId7"/>
    <sheet xmlns:r="http://schemas.openxmlformats.org/officeDocument/2006/relationships" name="Data" sheetId="8" state="visible" r:id="rId8"/>
    <sheet xmlns:r="http://schemas.openxmlformats.org/officeDocument/2006/relationships" name="Demand01" sheetId="9" state="hidden" r:id="rId9"/>
    <sheet xmlns:r="http://schemas.openxmlformats.org/officeDocument/2006/relationships" name="Gen01" sheetId="10" state="hidden" r:id="rId10"/>
    <sheet xmlns:r="http://schemas.openxmlformats.org/officeDocument/2006/relationships" name="Gen02" sheetId="11" state="hidden" r:id="rId11"/>
    <sheet xmlns:r="http://schemas.openxmlformats.org/officeDocument/2006/relationships" name="bus01" sheetId="12" state="hidden" r:id="rId12"/>
    <sheet xmlns:r="http://schemas.openxmlformats.org/officeDocument/2006/relationships" name="Lines01" sheetId="13" state="hidden" r:id="rId13"/>
    <sheet xmlns:r="http://schemas.openxmlformats.org/officeDocument/2006/relationships" name="Lines02" sheetId="14" state="hidden" r:id="rId14"/>
    <sheet xmlns:r="http://schemas.openxmlformats.org/officeDocument/2006/relationships" name="Trafos02" sheetId="15" state="hidden" r:id="rId15"/>
    <sheet xmlns:r="http://schemas.openxmlformats.org/officeDocument/2006/relationships" name="Trafos01" sheetId="16" state="hidden" r:id="rId16"/>
  </sheets>
  <definedNames/>
  <calcPr calcId="191029" fullCalcOnLoad="1"/>
  <pivotCaches>
    <pivotCache xmlns:r="http://schemas.openxmlformats.org/officeDocument/2006/relationships" cacheId="0" r:id="rId17"/>
    <pivotCache xmlns:r="http://schemas.openxmlformats.org/officeDocument/2006/relationships" cacheId="1" r:id="rId18"/>
    <pivotCache xmlns:r="http://schemas.openxmlformats.org/officeDocument/2006/relationships" cacheId="4" r:id="rId19"/>
    <pivotCache xmlns:r="http://schemas.openxmlformats.org/officeDocument/2006/relationships" cacheId="2" r:id="rId20"/>
    <pivotCache xmlns:r="http://schemas.openxmlformats.org/officeDocument/2006/relationships" cacheId="3" r:id="rId21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6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pivotCacheDefinition" Target="/xl/pivotCache/pivotCacheDefinition1.xml" Id="rId17"/><Relationship Type="http://schemas.openxmlformats.org/officeDocument/2006/relationships/pivotCacheDefinition" Target="/xl/pivotCache/pivotCacheDefinition2.xml" Id="rId18"/><Relationship Type="http://schemas.openxmlformats.org/officeDocument/2006/relationships/pivotCacheDefinition" Target="/xl/pivotCache/pivotCacheDefinition3.xml" Id="rId19"/><Relationship Type="http://schemas.openxmlformats.org/officeDocument/2006/relationships/pivotCacheDefinition" Target="/xl/pivotCache/pivotCacheDefinition4.xml" Id="rId20"/><Relationship Type="http://schemas.openxmlformats.org/officeDocument/2006/relationships/pivotCacheDefinition" Target="/xl/pivotCache/pivotCacheDefinition5.xml" Id="rId21"/><Relationship Type="http://schemas.openxmlformats.org/officeDocument/2006/relationships/styles" Target="styles.xml" Id="rId22"/><Relationship Type="http://schemas.openxmlformats.org/officeDocument/2006/relationships/theme" Target="theme/theme1.xml" Id="rId23"/><Relationship Type="http://schemas.microsoft.com/office/2006/relationships/vbaProject" Target="vbaProject.bin" Id="rId24"/></Relationships>
</file>

<file path=xl/charts/chart1.xml><?xml version="1.0" encoding="utf-8"?>
<chartSpace xmlns="http://schemas.openxmlformats.org/drawingml/2006/chart">
  <pivotSource>
    <name>[output_template.xlsm]Lines01!PivotTable2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pivotSource>
    <name>[output_template.xlsm]Lines02!PivotTable3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="http://schemas.openxmlformats.org/drawingml/2006/chart">
  <pivotSource>
    <name>[output_template.xlsm]Gen01!ptgen01</name>
    <fmtId val="1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 w="25400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="http://schemas.openxmlformats.org/drawingml/2006/chart">
  <pivotSource>
    <name>[output_template.xlsm]Trafos02!PivotTable1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(blank)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 xmlns:a="http://schemas.openxmlformats.org/drawingml/2006/main">
                <a:schemeClr val="accent1"/>
              </a:solidFill>
              <a:ln xmlns:a="http://schemas.openxmlformats.org/drawingml/2006/main"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Trafos02!$A$6:$A$7</f>
              <strCache>
                <ptCount val="1"/>
                <pt idx="0">
                  <v>(blank)</v>
                </pt>
              </strCache>
            </strRef>
          </cat>
          <val>
            <numRef>
              <f>Trafos02!$B$6:$B$7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pivotSource>
    <name>[output_template.xlsm]Trafos01!PivotTable2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pivotSource>
    <name>[output_template.xlsm]Gen01!ptgen01</name>
    <fmtId val="7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3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4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6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7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8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19"/>
        <spPr>
          <a:solidFill xmlns:a="http://schemas.openxmlformats.org/drawingml/2006/main">
            <a:schemeClr val="accent3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0"/>
        <spPr>
          <a:solidFill xmlns:a="http://schemas.openxmlformats.org/drawingml/2006/main">
            <a:schemeClr val="accent5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="http://schemas.openxmlformats.org/drawingml/2006/chart">
  <pivotSource>
    <name>[output_template.xlsm]bus01!PivotTable3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'bus01'!$B$4:$B$5</f>
              <strCache>
                <ptCount val="1"/>
                <pt idx="0">
                  <v>(blank)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'bus01'!$A$6:$A$7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'bus01'!$B$6:$B$7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pivotSource>
    <name>[output_template.xlsm]Demand01!PivotTable4</name>
    <fmtId val="2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circle"/>
          <size val="5"/>
          <spPr>
            <a:solidFill xmlns:a="http://schemas.openxmlformats.org/drawingml/2006/main">
              <a:schemeClr val="accent1"/>
            </a:solidFill>
            <a:ln xmlns:a="http://schemas.openxmlformats.org/drawingml/2006/main"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  <dLbl>
          <idx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lIns="38100" tIns="19050" rIns="38100" bIns="19050" anchor="ctr" anchorCtr="1">
              <a:spAutoFit/>
            </a:bodyPr>
            <a:lstStyle xmlns:a="http://schemas.openxmlformats.org/drawingml/2006/main"/>
            <a:p xmlns:a="http://schemas.openxmlformats.org/drawingml/2006/main"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xmlns:a="http://schemas.openxmlformats.org/drawingml/2006/main" rot="-5400000" spcFirstLastPara="1" vertOverflow="ellipsis" vert="horz" wrap="square" anchor="ctr" anchorCtr="1"/>
              <a:lstStyle xmlns:a="http://schemas.openxmlformats.org/drawingml/2006/main"/>
              <a:p xmlns:a="http://schemas.openxmlformats.org/drawingml/2006/main"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 xmlns:a="http://schemas.openxmlformats.org/drawingml/2006/main"/>
            <a:ln xmlns:a="http://schemas.openxmlformats.org/drawingml/2006/main">
              <a:noFill/>
              <a:prstDash val="solid"/>
            </a:ln>
          </spPr>
          <txPr>
            <a:bodyPr xmlns:a="http://schemas.openxmlformats.org/drawingml/2006/main" rot="-5400000" spcFirstLastPara="1" vertOverflow="ellipsis" vert="horz" wrap="square" anchor="ctr" anchorCtr="1"/>
            <a:lstStyle xmlns:a="http://schemas.openxmlformats.org/drawingml/2006/main"/>
            <a:p xmlns:a="http://schemas.openxmlformats.org/drawingml/2006/main"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/Relationships>
</file>

<file path=xl/drawings/drawing1.xml><?xml version="1.0" encoding="utf-8"?>
<wsDr xmlns="http://schemas.openxmlformats.org/drawingml/2006/spreadsheetDrawing">
  <twoCellAnchor>
    <from>
      <col>8</col>
      <colOff>199876</colOff>
      <row>42</row>
      <rowOff>33618</rowOff>
    </from>
    <to>
      <col>16</col>
      <colOff>59914</colOff>
      <row>54</row>
      <rowOff>169669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16</col>
      <colOff>87264</colOff>
      <row>42</row>
      <rowOff>41414</rowOff>
    </from>
    <to>
      <col>23</col>
      <colOff>441010</colOff>
      <row>54</row>
      <rowOff>172242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16</col>
      <colOff>98001</colOff>
      <row>55</row>
      <rowOff>77474</rowOff>
    </from>
    <to>
      <col>23</col>
      <colOff>440541</colOff>
      <row>68</row>
      <rowOff>141514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8</col>
      <colOff>216643</colOff>
      <row>55</row>
      <rowOff>69303</rowOff>
    </from>
    <to>
      <col>16</col>
      <colOff>67380</colOff>
      <row>68</row>
      <rowOff>145677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5</col>
      <colOff>190500</colOff>
      <row>69</row>
      <rowOff>6180</rowOff>
    </from>
    <to>
      <col>23</col>
      <colOff>431046</colOff>
      <row>84</row>
      <rowOff>179294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5</col>
      <colOff>190500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3.668759375" createdVersion="8" refreshedVersion="8" minRefreshableVersion="3" recordCount="1" r:id="rId1">
  <cacheSource type="worksheet">
    <worksheetSource name="Demand"/>
  </cacheSource>
  <cacheFields count="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43.66876076389" createdVersion="8" refreshedVersion="8" minRefreshableVersion="3" recordCount="1" r:id="rId1">
  <cacheSource type="worksheet">
    <worksheetSource name="Generation"/>
  </cacheSource>
  <cacheFields count="16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type" uniqueList="1" numFmtId="0" sqlType="0" hierarchy="0" level="0" databaseField="1">
      <sharedItems count="0" containsBlank="1" containsNonDate="0" containsString="0"/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Wind" u="1"/>
        <s v="---" u="1"/>
        <s v="Coal" u="1"/>
        <s v="NG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43.66877627315" createdVersion="8" refreshedVersion="8" minRefreshableVersion="3" recordCount="1" r:id="rId1">
  <cacheSource type="worksheet">
    <worksheetSource name="Buses"/>
  </cacheSource>
  <cacheFields count="1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298" u="1"/>
        <n v="57" u="1"/>
        <n v="34" u="1"/>
        <n v="75" u="1"/>
        <n v="235" u="1"/>
        <n v="285" u="1"/>
        <n v="100" u="1"/>
        <n v="143" u="1"/>
        <n v="314" u="1"/>
        <n v="36" u="1"/>
        <n v="79" u="1"/>
        <n v="172" u="1"/>
        <n v="243" u="1"/>
        <n v="301" u="1"/>
        <n v="104" u="1"/>
        <n v="201" u="1"/>
        <n v="288" u="1"/>
        <n v="38" u="1"/>
        <n v="83" u="1"/>
        <n v="317" u="1"/>
        <n v="5" u="1"/>
        <n v="108" u="1"/>
        <n v="159" u="1"/>
        <n v="275" u="1"/>
        <n v="138" u="1"/>
        <n v="304" u="1"/>
        <n v="40" u="1"/>
        <n v="188" u="1"/>
        <n v="167" u="1"/>
        <n v="238" u="1"/>
        <n v="146" u="1"/>
        <n v="42" u="1"/>
        <n v="196" u="1"/>
        <n v="116" u="1"/>
        <n v="246" u="1"/>
        <n v="44" u="1"/>
        <n v="95" u="1"/>
        <n v="133" u="1"/>
        <n v="120" u="1"/>
        <n v="74" u="1"/>
        <n v="162" u="1"/>
        <n v="281" u="1"/>
        <n v="2" u="1"/>
        <n v="46" u="1"/>
        <n v="141" u="1"/>
        <n v="6" u="1"/>
        <n v="78" u="1"/>
        <n v="170" u="1"/>
        <n v="241" u="1"/>
        <n v="48" u="1"/>
        <n v="103" u="1"/>
        <n v="149" u="1"/>
        <n v="199" u="1"/>
        <n v="82" u="1"/>
        <n v="178" u="1"/>
        <n v="313" u="1"/>
        <n v="50" u="1"/>
        <n v="107" u="1"/>
        <n v="157" u="1"/>
        <n v="271" u="1"/>
        <n v="136" u="1"/>
        <n v="207" u="1"/>
        <n v="86" u="1"/>
        <n v="186" u="1"/>
        <n v="52" u="1"/>
        <n v="111" u="1"/>
        <n v="236" u="1"/>
        <n v="287" u="1"/>
        <n v="65" u="1"/>
        <n v="144" u="1"/>
        <n v="215" u="1"/>
        <n v="316" u="1"/>
        <n v="194" u="1"/>
        <n v="54" u="1"/>
        <n v="173" u="1"/>
        <n v="244" u="1"/>
        <n v="303" u="1"/>
        <n v="7" u="1"/>
        <n v="223" u="1"/>
        <n v="94" u="1"/>
        <n v="131" u="1"/>
        <n v="290" u="1"/>
        <n v="56" u="1"/>
        <n v="119" u="1"/>
        <n v="181" u="1"/>
        <n v="319" u="1"/>
        <n v="33" u="1"/>
        <n v="73" u="1"/>
        <n v="231" u="1"/>
        <n v="98" u="1"/>
        <n v="210" u="1"/>
        <n v="58" u="1"/>
        <n v="189" u="1"/>
        <n v="35" u="1"/>
        <n v="77" u="1"/>
        <n v="168" u="1"/>
        <n v="239" u="1"/>
        <n v="102" u="1"/>
        <n v="147" u="1"/>
        <n v="197" u="1"/>
        <n v="37" u="1"/>
        <n v="81" u="1"/>
        <n v="176" u="1"/>
        <n v="247" u="1"/>
        <n v="1" u="1"/>
        <n v="106" u="1"/>
        <n v="155" u="1"/>
        <n v="3" u="1"/>
        <n v="134" u="1"/>
        <n v="205" u="1"/>
        <n v="8" u="1"/>
        <n v="39" u="1"/>
        <n v="85" u="1"/>
        <n v="184" u="1"/>
        <n v="110" u="1"/>
        <n v="64" u="1"/>
        <n v="142" u="1"/>
        <n v="213" u="1"/>
        <n v="312" u="1"/>
        <n v="41" u="1"/>
        <n v="192" u="1"/>
        <n v="171" u="1"/>
        <n v="242" u="1"/>
        <n v="150" u="1"/>
        <n v="221" u="1"/>
        <n v="43" u="1"/>
        <n v="129" u="1"/>
        <n v="200" u="1"/>
        <n v="286" u="1"/>
        <n v="118" u="1"/>
        <n v="315" u="1"/>
        <n v="72" u="1"/>
        <n v="229" u="1"/>
        <n v="273" u="1"/>
        <n v="45" u="1"/>
        <n v="137" u="1"/>
        <n v="76" u="1"/>
        <n v="237" u="1"/>
        <n v="289" u="1"/>
        <n v="47" u="1"/>
        <n v="101" u="1"/>
        <n v="145" u="1"/>
        <n v="216" u="1"/>
        <n v="318" u="1"/>
        <n v="126" u="1"/>
        <n v="195" u="1"/>
        <n v="80" u="1"/>
        <n v="174" u="1"/>
        <n v="245" u="1"/>
        <n v="305" u="1"/>
        <n v="49" u="1"/>
        <n v="153" u="1"/>
        <n v="224" u="1"/>
        <n v="29" u="1"/>
        <n v="132" u="1"/>
        <n v="84" u="1"/>
        <n v="253" u="1"/>
        <n v="51" u="1"/>
        <n v="109" u="1"/>
        <n v="161" u="1"/>
        <n v="30" u="1"/>
        <n v="140" u="1"/>
        <n v="190" u="1"/>
        <n v="53" u="1"/>
        <n v="169" u="1"/>
        <n v="240" u="1"/>
        <n v="31" u="1"/>
        <n v="148" u="1"/>
        <n v="219" u="1"/>
        <n v="4" u="1"/>
        <n v="198" u="1"/>
        <n v="55" u="1"/>
        <n v="117" u="1"/>
        <n v="248" u="1"/>
        <n v="32" u="1"/>
        <n v="71" u="1"/>
        <n v="227" u="1"/>
        <n v="269" u="1"/>
      </sharedItems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43.66876284722" createdVersion="8" refreshedVersion="8" minRefreshableVersion="3" recordCount="1" r:id="rId1">
  <cacheSource type="worksheet">
    <worksheetSource name="Lines"/>
  </cacheSource>
  <cacheFields count="2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43.66876435185" createdVersion="8" refreshedVersion="8" minRefreshableVersion="3" recordCount="1" r:id="rId1">
  <cacheSource type="worksheet">
    <worksheetSource name="Trafos"/>
  </cacheSource>
  <cacheFields count="22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x v="0"/>
    <x v="0"/>
    <m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4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_mw" fld="7" subtotal="sum" showDataAs="normal" baseField="0" baseItem="0"/>
  </dataFields>
  <chartFormats count="2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5" series="1">
      <pivotArea type="data" dataOnly="1" outline="0" fieldPosition="0">
        <references count="2">
          <reference field="4294967294" selected="0">
            <x v="0"/>
          </reference>
          <reference field="4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1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A3:D7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chartFormats count="8">
    <chartFormat chart="1" format="15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7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7" format="23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1" format="18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  <chartFormat chart="7" format="24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1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8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11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106"/>
        <item t="data" sd="1" m="1" x="44"/>
        <item t="data" sd="1" m="1" x="109"/>
        <item t="data" sd="1" m="1" x="171"/>
        <item t="data" sd="1" m="1" x="22"/>
        <item t="data" sd="1" m="1" x="47"/>
        <item t="data" sd="1" m="1" x="79"/>
        <item t="data" sd="1" m="1" x="112"/>
        <item t="data" sd="1" m="1" x="155"/>
        <item t="data" sd="1" m="1" x="162"/>
        <item t="data" sd="1" m="1" x="168"/>
        <item t="data" sd="1" m="1" x="176"/>
        <item t="data" sd="1" m="1" x="88"/>
        <item t="data" sd="1" m="1" x="4"/>
        <item t="data" sd="1" m="1" x="95"/>
        <item t="data" sd="1" m="1" x="11"/>
        <item t="data" sd="1" m="1" x="102"/>
        <item t="data" sd="1" m="1" x="19"/>
        <item t="data" sd="1" m="1" x="113"/>
        <item t="data" sd="1" m="1" x="28"/>
        <item t="data" sd="1" m="1" x="121"/>
        <item t="data" sd="1" m="1" x="33"/>
        <item t="data" sd="1" m="1" x="127"/>
        <item t="data" sd="1" m="1" x="37"/>
        <item t="data" sd="1" m="1" x="136"/>
        <item t="data" sd="1" m="1" x="45"/>
        <item t="data" sd="1" m="1" x="141"/>
        <item t="data" sd="1" m="1" x="51"/>
        <item t="data" sd="1" m="1" x="152"/>
        <item t="data" sd="1" m="1" x="58"/>
        <item t="data" sd="1" m="1" x="159"/>
        <item t="data" sd="1" m="1" x="66"/>
        <item t="data" sd="1" m="1" x="165"/>
        <item t="data" sd="1" m="1" x="75"/>
        <item t="data" sd="1" m="1" x="173"/>
        <item t="data" sd="1" m="1" x="84"/>
        <item t="data" sd="1" m="1" x="3"/>
        <item t="data" sd="1" m="1" x="93"/>
        <item t="data" sd="1" m="1" x="117"/>
        <item t="data" sd="1" m="1" x="70"/>
        <item t="data" sd="1" m="1" x="177"/>
        <item t="data" sd="1" m="1" x="133"/>
        <item t="data" sd="1" m="1" x="89"/>
        <item t="data" sd="1" m="1" x="41"/>
        <item t="data" sd="1" m="1" x="5"/>
        <item t="data" sd="1" m="1" x="138"/>
        <item t="data" sd="1" m="1" x="96"/>
        <item t="data" sd="1" m="1" x="48"/>
        <item t="data" sd="1" m="1" x="12"/>
        <item t="data" sd="1" m="1" x="148"/>
        <item t="data" sd="1" m="1" x="103"/>
        <item t="data" sd="1" m="1" x="55"/>
        <item t="data" sd="1" m="1" x="20"/>
        <item t="data" sd="1" m="1" x="157"/>
        <item t="data" sd="1" m="1" x="114"/>
        <item t="data" sd="1" m="1" x="64"/>
        <item t="data" sd="1" m="1" x="81"/>
        <item t="data" sd="1" m="1" x="38"/>
        <item t="data" sd="1" m="1" x="91"/>
        <item t="data" sd="1" m="1" x="8"/>
        <item t="data" sd="1" m="1" x="142"/>
        <item t="data" sd="1" m="1" x="99"/>
        <item t="data" sd="1" m="1" x="52"/>
        <item t="data" sd="1" m="1" x="16"/>
        <item t="data" sd="1" m="1" x="107"/>
        <item t="data" sd="1" m="1" x="59"/>
        <item t="data" sd="1" m="1" x="23"/>
        <item t="data" sd="1" m="1" x="160"/>
        <item t="data" sd="1" m="1" x="116"/>
        <item t="data" sd="1" m="1" x="67"/>
        <item t="data" sd="1" m="1" x="35"/>
        <item t="data" sd="1" m="1" x="174"/>
        <item t="data" sd="1" m="1" x="131"/>
        <item t="data" sd="1" m="1" x="85"/>
        <item t="data" sd="1" m="1" x="40"/>
        <item t="data" sd="1" m="1" x="146"/>
        <item t="data" sd="1" m="1" x="128"/>
        <item t="data" sd="1" m="1" x="82"/>
        <item t="data" sd="1" m="1" x="156"/>
        <item t="data" sd="1" m="1" x="39"/>
        <item t="data" sd="1" m="1" x="110"/>
        <item t="data" sd="1" m="1" x="62"/>
        <item t="data" sd="1" m="1" x="137"/>
        <item t="data" sd="1" m="1" x="26"/>
        <item t="data" sd="1" m="1" x="163"/>
        <item t="data" sd="1" m="1" x="46"/>
        <item t="data" sd="1" m="1" x="118"/>
        <item t="data" sd="1" m="1" x="9"/>
        <item t="data" sd="1" m="1" x="71"/>
        <item t="data" sd="1" m="1" x="143"/>
        <item t="data" sd="1" m="1" x="32"/>
        <item t="data" sd="1" m="1" x="100"/>
        <item t="data" sd="1" m="1" x="169"/>
        <item t="data" sd="1" m="1" x="53"/>
        <item t="data" sd="1" m="1" x="125"/>
        <item t="data" sd="1" m="1" x="153"/>
        <item t="data" sd="1" m="1" x="108"/>
        <item t="data" sd="1" m="1" x="60"/>
        <item t="data" sd="1" m="1" x="24"/>
        <item t="data" sd="1" m="1" x="161"/>
        <item t="data" sd="1" m="1" x="42"/>
        <item t="data" sd="1" m="1" x="30"/>
        <item t="data" sd="1" m="1" x="97"/>
        <item t="data" sd="1" m="1" x="166"/>
        <item t="data" sd="1" m="1" x="49"/>
        <item t="data" sd="1" m="1" x="123"/>
        <item t="data" sd="1" m="1" x="13"/>
        <item t="data" sd="1" m="1" x="76"/>
        <item t="data" sd="1" m="1" x="149"/>
        <item t="data" sd="1" m="1" x="104"/>
        <item t="data" sd="1" m="1" x="56"/>
        <item t="data" sd="1" m="1" x="86"/>
        <item t="data" sd="1" m="1" x="115"/>
        <item t="data" sd="1" m="1" x="65"/>
        <item t="data" sd="1" m="1" x="29"/>
        <item t="data" sd="1" m="1" x="94"/>
        <item t="data" sd="1" m="1" x="164"/>
        <item t="data" sd="1" m="1" x="122"/>
        <item t="data" sd="1" m="1" x="74"/>
        <item t="data" sd="1" m="1" x="147"/>
        <item t="data" sd="1" m="1" x="34"/>
        <item t="data" sd="1" m="1" x="101"/>
        <item t="data" sd="1" m="1" x="172"/>
        <item t="data" sd="1" m="1" x="54"/>
        <item t="data" sd="1" m="1" x="129"/>
        <item t="data" sd="1" m="1" x="17"/>
        <item t="data" sd="1" m="1" x="111"/>
        <item t="data" sd="1" m="1" x="63"/>
        <item t="data" sd="1" m="1" x="92"/>
        <item t="data" sd="1" m="1" x="119"/>
        <item t="data" sd="1" m="1" x="72"/>
        <item t="data" sd="1" m="1" x="144"/>
        <item t="data" sd="1" m="1" x="170"/>
        <item t="data" sd="1" m="1" x="126"/>
        <item t="data" sd="1" m="1" x="80"/>
        <item t="data" sd="1" m="1" x="154"/>
        <item t="data" sd="1" m="1" x="178"/>
        <item t="data" sd="1" m="1" x="134"/>
        <item t="data" sd="1" m="1" x="90"/>
        <item t="data" sd="1" m="1" x="6"/>
        <item t="data" sd="1" m="1" x="68"/>
        <item t="data" sd="1" m="1" x="139"/>
        <item t="data" sd="1" m="1" x="31"/>
        <item t="data" sd="1" m="1" x="98"/>
        <item t="data" sd="1" m="1" x="167"/>
        <item t="data" sd="1" m="1" x="50"/>
        <item t="data" sd="1" m="1" x="124"/>
        <item t="data" sd="1" m="1" x="14"/>
        <item t="data" sd="1" m="1" x="77"/>
        <item t="data" sd="1" m="1" x="150"/>
        <item t="data" sd="1" m="1" x="36"/>
        <item t="data" sd="1" m="1" x="105"/>
        <item t="data" sd="1" m="1" x="175"/>
        <item t="data" sd="1" m="1" x="158"/>
        <item t="data" sd="1" m="1" x="179"/>
        <item t="data" sd="1" m="1" x="61"/>
        <item t="data" sd="1" m="1" x="135"/>
        <item t="data" sd="1" m="1" x="25"/>
        <item t="data" sd="1" m="1" x="43"/>
        <item t="data" sd="1" m="1" x="7"/>
        <item t="data" sd="1" m="1" x="130"/>
        <item t="data" sd="1" m="1" x="69"/>
        <item t="data" sd="1" m="1" x="18"/>
        <item t="data" sd="1" m="1" x="140"/>
        <item t="data" sd="1" m="1" x="83"/>
        <item t="data" sd="1" m="1" x="2"/>
        <item t="data" sd="1" m="1" x="15"/>
        <item t="data" sd="1" m="1" x="78"/>
        <item t="data" sd="1" m="1" x="27"/>
        <item t="data" sd="1" m="1" x="151"/>
        <item t="data" sd="1" m="1" x="120"/>
        <item t="data" sd="1" m="1" x="57"/>
        <item t="data" sd="1" m="1" x="10"/>
        <item t="data" sd="1" m="1" x="132"/>
        <item t="data" sd="1" m="1" x="73"/>
        <item t="data" sd="1" m="1" x="21"/>
        <item t="data" sd="1" m="1" x="145"/>
        <item t="data" sd="1" m="1" x="87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2">
    <pageField fld="0" item="20" hier="-1"/>
    <pageField fld="2" hier="-1"/>
  </pageFields>
  <dataFields count="1">
    <dataField name="Sum of vm_pu" fld="7" subtotal="sum" showDataAs="normal" baseField="0" baseItem="0"/>
  </dataFields>
  <chartFormats count="2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19" subtotal="max" showDataAs="normal" baseField="1" baseItem="92"/>
    <dataField name="Min of loading_percent" fld="19" subtotal="min" showDataAs="normal" baseField="9" baseItem="0"/>
    <dataField name="Average of loading_percent" fld="19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 rowPageCount="1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7" subtotal="sum" showDataAs="normal" baseField="0" baseItem="0"/>
  </dataFields>
  <chartFormats count="2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9" subtotal="sum" showDataAs="normal" baseField="0" baseItem="0"/>
  </dataFields>
  <chartFormats count="3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3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21" subtotal="max" showDataAs="normal" baseField="9" baseItem="0"/>
    <dataField name="Min of loading_percent" fld="21" subtotal="min" showDataAs="normal" baseField="0" baseItem="1"/>
    <dataField name="Average of loading_percent" fld="21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12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7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14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12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5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2.xml" Id="rId1"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3.xml" Id="rId1"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4.xml" Id="rId1"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5.xml" Id="rId1"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6.xml" Id="rId1"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7.xml" Id="rId1"/></Relationships>
</file>

<file path=xl/worksheets/_rels/sheet16.xml.rels><Relationships xmlns="http://schemas.openxmlformats.org/package/2006/relationships"><Relationship Type="http://schemas.openxmlformats.org/officeDocument/2006/relationships/pivotTable" Target="/xl/pivotTables/pivotTable8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abSelected="1" workbookViewId="0">
      <selection activeCell="M20" sqref="M20"/>
    </sheetView>
  </sheetViews>
  <sheetFormatPr baseColWidth="8" defaultRowHeight="15"/>
  <sheetData/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0" zoomScale="145" zoomScaleNormal="145" workbookViewId="0">
      <selection activeCell="AA5" sqref="AA5"/>
    </sheetView>
  </sheetViews>
  <sheetFormatPr baseColWidth="8" defaultRowHeight="15"/>
  <cols>
    <col width="1.5703125" customWidth="1" min="1" max="1"/>
    <col width="12" customWidth="1" min="2" max="2"/>
  </cols>
  <sheetData>
    <row r="1" ht="6.75" customHeight="1"/>
  </sheetData>
  <pageMargins left="0.7" right="0.7" top="0.75" bottom="0.75" header="0.3" footer="0.3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K12"/>
  <sheetViews>
    <sheetView workbookViewId="0">
      <selection activeCell="D52" sqref="D52"/>
    </sheetView>
  </sheetViews>
  <sheetFormatPr baseColWidth="8" defaultRowHeight="15"/>
  <cols>
    <col width="12.7109375" customWidth="1" min="2" max="2"/>
    <col width="9" bestFit="1" customWidth="1" min="3" max="3"/>
    <col width="10" bestFit="1" customWidth="1" min="4" max="4"/>
    <col width="10" customWidth="1" min="5" max="6"/>
    <col width="9.42578125" bestFit="1" customWidth="1" min="7" max="7"/>
    <col width="9.140625" bestFit="1" customWidth="1" min="8" max="8"/>
    <col width="13.7109375" bestFit="1" customWidth="1" min="9" max="9"/>
    <col width="12" bestFit="1" customWidth="1" min="10" max="10"/>
    <col width="14" bestFit="1" customWidth="1" min="11" max="11"/>
  </cols>
  <sheetData>
    <row r="2" ht="21" customHeight="1">
      <c r="C2" s="15" t="inlineStr">
        <is>
          <t>Demand</t>
        </is>
      </c>
    </row>
    <row r="3" ht="45.75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household8</t>
        </is>
      </c>
      <c r="H12" t="n">
        <v>9</v>
      </c>
      <c r="I12" t="n">
        <v>1</v>
      </c>
      <c r="J12" t="n">
        <v>0.007200000000000001</v>
      </c>
      <c r="K12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B2:R7"/>
  <sheetViews>
    <sheetView workbookViewId="0">
      <selection activeCell="E3" sqref="E3"/>
    </sheetView>
  </sheetViews>
  <sheetFormatPr baseColWidth="8" defaultRowHeight="15"/>
  <cols>
    <col width="6" customWidth="1" min="1" max="1"/>
    <col width="11.7109375" bestFit="1" customWidth="1" min="2" max="2"/>
    <col width="11.140625" customWidth="1" min="4" max="5"/>
    <col width="10.5703125" bestFit="1" customWidth="1" min="6" max="6"/>
    <col width="10" bestFit="1" customWidth="1" min="7" max="7"/>
    <col width="10" customWidth="1" min="8" max="9"/>
    <col width="11.42578125" customWidth="1" min="10" max="10"/>
    <col width="10.85546875" bestFit="1" customWidth="1" min="11" max="11"/>
    <col width="12.42578125" bestFit="1" customWidth="1" min="12" max="12"/>
    <col width="12" bestFit="1" customWidth="1" min="13" max="13"/>
    <col width="12.42578125" bestFit="1" customWidth="1" min="14" max="14"/>
    <col width="15.28515625" customWidth="1" min="15" max="15"/>
    <col width="14.140625" customWidth="1" min="16" max="16"/>
    <col width="14.85546875" customWidth="1" min="17" max="18"/>
  </cols>
  <sheetData>
    <row r="2" ht="21" customHeight="1">
      <c r="C2" s="15" t="inlineStr">
        <is>
          <t>Generators</t>
        </is>
      </c>
    </row>
    <row r="3" ht="60.75" customHeight="1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30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basic</t>
        </is>
      </c>
      <c r="F5" t="n">
        <v>0</v>
      </c>
      <c r="G5" t="n">
        <v>0</v>
      </c>
      <c r="H5" t="inlineStr">
        <is>
          <t>gen</t>
        </is>
      </c>
      <c r="I5" t="n">
        <v>0</v>
      </c>
      <c r="J5" t="n">
        <v>0</v>
      </c>
      <c r="K5" t="n">
        <v>0</v>
      </c>
      <c r="L5" t="n">
        <v>0</v>
      </c>
      <c r="M5" t="n">
        <v>0</v>
      </c>
      <c r="N5" t="n">
        <v>0</v>
      </c>
      <c r="O5" t="n">
        <v>0</v>
      </c>
      <c r="P5" t="n">
        <v>0</v>
      </c>
      <c r="Q5" t="n">
        <v>0</v>
      </c>
      <c r="R5" t="n">
        <v>0</v>
      </c>
    </row>
    <row r="6">
      <c r="C6" s="5" t="n">
        <v>0</v>
      </c>
      <c r="D6" t="n">
        <v>0</v>
      </c>
      <c r="E6" t="inlineStr">
        <is>
          <t>basic</t>
        </is>
      </c>
      <c r="F6" t="n">
        <v>0</v>
      </c>
      <c r="G6" t="n">
        <v>0</v>
      </c>
      <c r="H6" t="inlineStr">
        <is>
          <t>sgen</t>
        </is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0</v>
      </c>
    </row>
    <row r="7">
      <c r="C7" t="n">
        <v>0</v>
      </c>
      <c r="D7" t="n">
        <v>0</v>
      </c>
      <c r="E7" t="inlineStr">
        <is>
          <t>basic</t>
        </is>
      </c>
      <c r="F7" t="inlineStr">
        <is>
          <t>---</t>
        </is>
      </c>
      <c r="G7" t="inlineStr">
        <is>
          <t>---</t>
        </is>
      </c>
      <c r="H7" t="inlineStr">
        <is>
          <t>ext_grid</t>
        </is>
      </c>
      <c r="I7" t="n">
        <v>0</v>
      </c>
      <c r="J7" t="n">
        <v>1</v>
      </c>
      <c r="K7" t="inlineStr">
        <is>
          <t>External Grid</t>
        </is>
      </c>
      <c r="L7" t="n">
        <v>1</v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0.05903881465839034</v>
      </c>
      <c r="R7" t="n">
        <v>0.001410555326456421</v>
      </c>
    </row>
  </sheetData>
  <mergeCells count="1">
    <mergeCell ref="C2:R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7">
    <outlinePr summaryBelow="1" summaryRight="1"/>
    <pageSetUpPr/>
  </sheetPr>
  <dimension ref="B2:M14"/>
  <sheetViews>
    <sheetView workbookViewId="0">
      <selection activeCell="F11" sqref="F11"/>
    </sheetView>
  </sheetViews>
  <sheetFormatPr baseColWidth="8" defaultRowHeight="15"/>
  <cols>
    <col width="5" customWidth="1" min="1" max="1"/>
    <col width="11.7109375" bestFit="1" customWidth="1" min="2" max="2"/>
    <col width="9" bestFit="1" customWidth="1" min="3" max="3"/>
    <col width="10" bestFit="1" customWidth="1" min="4" max="4"/>
    <col width="10" customWidth="1" min="5" max="5"/>
    <col width="9.42578125" bestFit="1" customWidth="1" min="6" max="6"/>
    <col width="10.28515625" bestFit="1" customWidth="1" min="7" max="7"/>
    <col width="12.28515625" bestFit="1" customWidth="1" min="8" max="8"/>
    <col width="13.7109375" bestFit="1" customWidth="1" min="9" max="9"/>
    <col width="11.28515625" bestFit="1" customWidth="1" min="10" max="10"/>
    <col width="14.28515625" bestFit="1" customWidth="1" min="11" max="11"/>
    <col width="12" bestFit="1" customWidth="1" min="12" max="12"/>
    <col width="14" bestFit="1" customWidth="1" min="13" max="13"/>
  </cols>
  <sheetData>
    <row r="1" ht="15.6" customHeight="1"/>
    <row r="2" ht="21" customHeight="1">
      <c r="C2" s="15" t="inlineStr">
        <is>
          <t>Buses Parameters</t>
        </is>
      </c>
    </row>
    <row r="3" ht="45.75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0.9926548819935154</v>
      </c>
      <c r="K6" t="n">
        <v>-1.28571600156164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0.9880201642368928</v>
      </c>
      <c r="K7" t="n">
        <v>-1.327073573202487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0.9841526013408799</v>
      </c>
      <c r="K8" t="n">
        <v>-1.361835961926462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0.9810550656921739</v>
      </c>
      <c r="K9" t="n">
        <v>-1.389843311546313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0.9787298726196068</v>
      </c>
      <c r="K10" t="n">
        <v>-1.410965206066702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0.9771787688835141</v>
      </c>
      <c r="K11" t="n">
        <v>-1.425102326804288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0.9764029239152376</v>
      </c>
      <c r="K12" t="n">
        <v>-1.43218773280551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0.9893878760495987</v>
      </c>
      <c r="K13" t="n">
        <v>-1.315061021125667</v>
      </c>
      <c r="L13" t="n">
        <v>0.007199999999999998</v>
      </c>
      <c r="M13" t="n">
        <v>0</v>
      </c>
    </row>
    <row r="14">
      <c r="C14" t="n">
        <v>0</v>
      </c>
      <c r="D14" t="n">
        <v>9</v>
      </c>
      <c r="E14" t="inlineStr">
        <is>
          <t>basic</t>
        </is>
      </c>
      <c r="F14" t="inlineStr">
        <is>
          <t>---</t>
        </is>
      </c>
      <c r="G14" t="inlineStr">
        <is>
          <t>bus_2_2</t>
        </is>
      </c>
      <c r="H14" t="n">
        <v>0.4</v>
      </c>
      <c r="I14" t="n">
        <v>1</v>
      </c>
      <c r="J14" t="n">
        <v>0.987753087575362</v>
      </c>
      <c r="K14" t="n">
        <v>-1.329806343791197</v>
      </c>
      <c r="L14" t="n">
        <v>0.007199999999999998</v>
      </c>
      <c r="M14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Sheet8">
    <outlinePr summaryBelow="1" summaryRight="1"/>
    <pageSetUpPr/>
  </sheetPr>
  <dimension ref="B2:V12"/>
  <sheetViews>
    <sheetView topLeftCell="A2" workbookViewId="0">
      <selection activeCell="G8" sqref="G8"/>
    </sheetView>
  </sheetViews>
  <sheetFormatPr baseColWidth="8" defaultRowHeight="15"/>
  <cols>
    <col width="5.28515625" customWidth="1" min="1" max="1"/>
    <col width="11.7109375" bestFit="1" customWidth="1" min="2" max="2"/>
    <col width="9" bestFit="1" customWidth="1" min="3" max="3"/>
    <col width="10" bestFit="1" customWidth="1" min="4" max="4"/>
    <col width="10" customWidth="1" min="5" max="5"/>
    <col width="9.42578125" bestFit="1" customWidth="1" min="6" max="6"/>
    <col width="10.28515625" bestFit="1" customWidth="1" min="7" max="7"/>
    <col width="12.7109375" bestFit="1" customWidth="1" min="8" max="8"/>
    <col width="11.28515625" bestFit="1" customWidth="1" min="9" max="9"/>
    <col width="12.7109375" bestFit="1" customWidth="1" min="10" max="11"/>
    <col width="12.42578125" bestFit="1" customWidth="1" min="12" max="12"/>
    <col width="15" bestFit="1" customWidth="1" min="13" max="13"/>
    <col width="11.5703125" bestFit="1" customWidth="1" min="14" max="14"/>
    <col width="12.7109375" bestFit="1" customWidth="1" min="15" max="16"/>
    <col width="17" bestFit="1" customWidth="1" min="17" max="17"/>
    <col width="13.42578125" bestFit="1" customWidth="1" min="18" max="18"/>
    <col width="14.7109375" bestFit="1" customWidth="1" min="19" max="19"/>
    <col width="12.28515625" bestFit="1" customWidth="1" min="20" max="21"/>
    <col width="12.7109375" bestFit="1" customWidth="1" min="22" max="22"/>
  </cols>
  <sheetData>
    <row r="2" ht="21" customHeight="1">
      <c r="C2" s="15" t="inlineStr">
        <is>
          <t>Tranmission and Distribution Lines</t>
        </is>
      </c>
    </row>
    <row r="3" ht="45.75" customHeight="1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0.0437173362020712</v>
      </c>
      <c r="Q5" t="n">
        <v>8.057832500445714e-05</v>
      </c>
      <c r="R5" t="n">
        <v>-0.04351326598193768</v>
      </c>
      <c r="S5" t="n">
        <v>-4.879312141707051e-05</v>
      </c>
      <c r="T5" t="n">
        <v>0.0002040702201335162</v>
      </c>
      <c r="U5" t="n">
        <v>3.178520358738664e-05</v>
      </c>
      <c r="V5" t="n">
        <v>23.54353998531623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0.03631326598194638</v>
      </c>
      <c r="Q6" t="n">
        <v>4.879312147322795e-05</v>
      </c>
      <c r="R6" t="n">
        <v>-0.03617114207763448</v>
      </c>
      <c r="S6" t="n">
        <v>-2.665644111764784e-05</v>
      </c>
      <c r="T6" t="n">
        <v>0.0001421239043119041</v>
      </c>
      <c r="U6" t="n">
        <v>2.213668035558011e-05</v>
      </c>
      <c r="V6" t="n">
        <v>19.64787162322306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0.02897114207766616</v>
      </c>
      <c r="Q7" t="n">
        <v>2.665644116232684e-05</v>
      </c>
      <c r="R7" t="n">
        <v>-0.02887996743912134</v>
      </c>
      <c r="S7" t="n">
        <v>-1.245542522645233e-05</v>
      </c>
      <c r="T7" t="n">
        <v>9.117463854481714e-05</v>
      </c>
      <c r="U7" t="n">
        <v>1.420101593587451e-05</v>
      </c>
      <c r="V7" t="n">
        <v>15.73689228487163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0.02167996743916265</v>
      </c>
      <c r="Q8" t="n">
        <v>1.24554252424222e-05</v>
      </c>
      <c r="R8" t="n">
        <v>-0.02162858698183296</v>
      </c>
      <c r="S8" t="n">
        <v>-4.452600060145077e-06</v>
      </c>
      <c r="T8" t="n">
        <v>5.138045732969512e-05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0.01442858698190055</v>
      </c>
      <c r="Q9" t="n">
        <v>4.452600040908349e-06</v>
      </c>
      <c r="R9" t="n">
        <v>-0.0144057210293779</v>
      </c>
      <c r="S9" t="n">
        <v>-8.910859911039288e-07</v>
      </c>
      <c r="T9" t="n">
        <v>2.286595252265489e-05</v>
      </c>
      <c r="U9" t="n">
        <v>3.561514049804421e-06</v>
      </c>
      <c r="V9" t="n">
        <v>7.880914135197385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0.007205721029458927</v>
      </c>
      <c r="Q10" t="n">
        <v>8.910859389427183e-07</v>
      </c>
      <c r="R10" t="n">
        <v>-0.00719999999991532</v>
      </c>
      <c r="S10" t="n">
        <v>-7.323427888422662e-14</v>
      </c>
      <c r="T10" t="n">
        <v>5.721029543606475e-06</v>
      </c>
      <c r="U10" t="n">
        <v>8.910858657084394e-07</v>
      </c>
      <c r="V10" t="n">
        <v>3.942021987314707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0.01445950216168699</v>
      </c>
      <c r="Q11" t="n">
        <v>9.267831073656594e-06</v>
      </c>
      <c r="R11" t="n">
        <v>-0.01441191617746745</v>
      </c>
      <c r="S11" t="n">
        <v>-1.856018633142017e-06</v>
      </c>
      <c r="T11" t="n">
        <v>4.758598421953503e-05</v>
      </c>
      <c r="U11" t="n">
        <v>7.411812440514577e-06</v>
      </c>
      <c r="V11" t="n">
        <v>7.787010567268557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line_2_2</t>
        </is>
      </c>
      <c r="H12" t="n">
        <v>8</v>
      </c>
      <c r="I12" t="n">
        <v>9</v>
      </c>
      <c r="J12" t="n">
        <v>1</v>
      </c>
      <c r="K12" t="n">
        <v>0.081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0.007211916177477834</v>
      </c>
      <c r="Q12" t="n">
        <v>1.856018628777534e-06</v>
      </c>
      <c r="R12" t="n">
        <v>-0.007199999999983562</v>
      </c>
      <c r="S12" t="n">
        <v>-1.22881034774619e-14</v>
      </c>
      <c r="T12" t="n">
        <v>1.191617749427259e-05</v>
      </c>
      <c r="U12" t="n">
        <v>1.85601861648943e-06</v>
      </c>
      <c r="V12" t="n">
        <v>3.896724639997698</v>
      </c>
    </row>
  </sheetData>
  <mergeCells count="1">
    <mergeCell ref="C2:V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Sheet11">
    <outlinePr summaryBelow="1" summaryRight="1"/>
    <pageSetUpPr/>
  </sheetPr>
  <dimension ref="B2:X5"/>
  <sheetViews>
    <sheetView topLeftCell="B1" workbookViewId="0">
      <selection activeCell="E5" sqref="E5"/>
    </sheetView>
  </sheetViews>
  <sheetFormatPr baseColWidth="8" defaultRowHeight="15"/>
  <cols>
    <col width="3.7109375" customWidth="1" min="1" max="1"/>
    <col width="11.7109375" bestFit="1" customWidth="1" min="2" max="2"/>
    <col width="9" customWidth="1" min="7" max="7"/>
    <col width="11.28515625" customWidth="1" min="12" max="12"/>
    <col width="9.7109375" customWidth="1" min="13" max="13"/>
    <col width="10.7109375" customWidth="1" min="14" max="14"/>
  </cols>
  <sheetData>
    <row r="2" ht="21" customHeight="1">
      <c r="C2" s="15" t="inlineStr">
        <is>
          <t>Transformers</t>
        </is>
      </c>
    </row>
    <row r="3" ht="60.75" customHeight="1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0.05903881465799354</v>
      </c>
      <c r="S5" t="n">
        <v>0.001410555326221807</v>
      </c>
      <c r="T5" t="n">
        <v>-0.0581768383637032</v>
      </c>
      <c r="U5" t="n">
        <v>-8.984615579902123e-05</v>
      </c>
      <c r="V5" t="n">
        <v>0.0008619762942903425</v>
      </c>
      <c r="W5" t="n">
        <v>0.001320709170422786</v>
      </c>
      <c r="X5" s="10" t="n">
        <v>59.05566274752358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32"/>
  <sheetViews>
    <sheetView workbookViewId="0">
      <selection activeCell="H45" sqref="H45"/>
    </sheetView>
  </sheetViews>
  <sheetFormatPr baseColWidth="8" defaultRowHeight="15"/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/>
    <row r="3">
      <c r="A3" t="n">
        <v>0</v>
      </c>
      <c r="B3" t="n">
        <v>0</v>
      </c>
      <c r="C3" t="n">
        <v>0</v>
      </c>
      <c r="D3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n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n">
        <v>1</v>
      </c>
      <c r="I4" t="n">
        <v>0.9926548819935154</v>
      </c>
      <c r="J4" t="n">
        <v>-1.28571600156164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n">
        <v>1</v>
      </c>
      <c r="I5" t="n">
        <v>0.9880201642368928</v>
      </c>
      <c r="J5" t="n">
        <v>-1.327073573202487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n">
        <v>1</v>
      </c>
      <c r="I6" t="n">
        <v>0.9841526013408799</v>
      </c>
      <c r="J6" t="n">
        <v>-1.361835961926462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n">
        <v>1</v>
      </c>
      <c r="I7" t="n">
        <v>0.9810550656921739</v>
      </c>
      <c r="J7" t="n">
        <v>-1.389843311546313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n">
        <v>1</v>
      </c>
      <c r="I8" t="n">
        <v>0.9787298726196068</v>
      </c>
      <c r="J8" t="n">
        <v>-1.410965206066702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n">
        <v>1</v>
      </c>
      <c r="I9" t="n">
        <v>0.9771787688835141</v>
      </c>
      <c r="J9" t="n">
        <v>-1.425102326804288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n">
        <v>1</v>
      </c>
      <c r="I10" t="n">
        <v>0.9764029239152376</v>
      </c>
      <c r="J10" t="n">
        <v>-1.43218773280551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n">
        <v>1</v>
      </c>
      <c r="I11" t="n">
        <v>0.9893878760495987</v>
      </c>
      <c r="J11" t="n">
        <v>-1.315061021125667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n">
        <v>1</v>
      </c>
      <c r="I12" t="n">
        <v>0.987753087575362</v>
      </c>
      <c r="J12" t="n">
        <v>-1.329806343791197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n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n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n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n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n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n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n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n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n">
        <v>0</v>
      </c>
      <c r="F21" t="n">
        <v>0</v>
      </c>
      <c r="G21" t="inlineStr">
        <is>
          <t>---</t>
        </is>
      </c>
      <c r="H21" t="n">
        <v>0</v>
      </c>
      <c r="I21" t="n">
        <v>0</v>
      </c>
      <c r="J21" t="inlineStr">
        <is>
          <t>---</t>
        </is>
      </c>
      <c r="K21" t="n">
        <v>0</v>
      </c>
      <c r="L21" t="n">
        <v>0</v>
      </c>
      <c r="M21" t="inlineStr">
        <is>
          <t>gen</t>
        </is>
      </c>
      <c r="N21" t="n">
        <v>0</v>
      </c>
      <c r="O21" t="inlineStr">
        <is>
          <t>gen</t>
        </is>
      </c>
      <c r="P21" t="n">
        <v>0</v>
      </c>
      <c r="Q21" t="n">
        <v>0</v>
      </c>
      <c r="R21" t="n">
        <v>0</v>
      </c>
      <c r="S21" t="n">
        <v>0</v>
      </c>
      <c r="T21" t="n">
        <v>0</v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n">
        <v>0</v>
      </c>
      <c r="F22" t="n">
        <v>0</v>
      </c>
      <c r="G22" t="inlineStr">
        <is>
          <t>---</t>
        </is>
      </c>
      <c r="H22" t="n">
        <v>0</v>
      </c>
      <c r="I22" t="n">
        <v>0</v>
      </c>
      <c r="J22" t="inlineStr">
        <is>
          <t>---</t>
        </is>
      </c>
      <c r="K22" t="n">
        <v>0</v>
      </c>
      <c r="L22" t="n">
        <v>0</v>
      </c>
      <c r="M22" t="inlineStr">
        <is>
          <t>sgen</t>
        </is>
      </c>
      <c r="N22" t="n">
        <v>0</v>
      </c>
      <c r="O22" t="inlineStr">
        <is>
          <t>sgen</t>
        </is>
      </c>
      <c r="P22" t="n">
        <v>0</v>
      </c>
      <c r="Q22" t="n">
        <v>0</v>
      </c>
      <c r="R22" t="n">
        <v>0</v>
      </c>
      <c r="S22" t="n">
        <v>0</v>
      </c>
      <c r="T22" t="n">
        <v>0</v>
      </c>
      <c r="U22" t="inlineStr">
        <is>
          <t>---</t>
        </is>
      </c>
      <c r="V22" t="inlineStr">
        <is>
          <t>---</t>
        </is>
      </c>
      <c r="W22" t="inlineStr">
        <is>
          <t>---</t>
        </is>
      </c>
      <c r="X22" t="inlineStr">
        <is>
          <t>---</t>
        </is>
      </c>
      <c r="Y22" t="inlineStr">
        <is>
          <t>---</t>
        </is>
      </c>
      <c r="Z22" t="inlineStr">
        <is>
          <t>---</t>
        </is>
      </c>
      <c r="AA22" t="inlineStr">
        <is>
          <t>---</t>
        </is>
      </c>
      <c r="AB22" t="inlineStr">
        <is>
          <t>---</t>
        </is>
      </c>
      <c r="AC22" t="inlineStr">
        <is>
          <t>---</t>
        </is>
      </c>
      <c r="AD22" t="inlineStr">
        <is>
          <t>---</t>
        </is>
      </c>
      <c r="AE22" t="inlineStr">
        <is>
          <t>---</t>
        </is>
      </c>
      <c r="AF22" t="inlineStr">
        <is>
          <t>---</t>
        </is>
      </c>
      <c r="AG22" t="inlineStr">
        <is>
          <t>---</t>
        </is>
      </c>
      <c r="AH22" t="inlineStr">
        <is>
          <t>---</t>
        </is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0</v>
      </c>
      <c r="B23" t="n">
        <v>0</v>
      </c>
      <c r="C23" t="n">
        <v>0</v>
      </c>
      <c r="D23" t="inlineStr">
        <is>
          <t>basic</t>
        </is>
      </c>
      <c r="E23" t="inlineStr">
        <is>
          <t>---</t>
        </is>
      </c>
      <c r="F23" t="inlineStr">
        <is>
          <t>---</t>
        </is>
      </c>
      <c r="G23" t="inlineStr">
        <is>
          <t>---</t>
        </is>
      </c>
      <c r="H23" t="n">
        <v>1</v>
      </c>
      <c r="I23" t="n">
        <v>1</v>
      </c>
      <c r="J23" t="inlineStr">
        <is>
          <t>---</t>
        </is>
      </c>
      <c r="K23" t="n">
        <v>0.05903881465839034</v>
      </c>
      <c r="L23" t="n">
        <v>0.001410555326456421</v>
      </c>
      <c r="M23" t="inlineStr">
        <is>
          <t>ext_grid</t>
        </is>
      </c>
      <c r="N23" t="n">
        <v>0</v>
      </c>
      <c r="O23" t="inlineStr">
        <is>
          <t>ext_grid</t>
        </is>
      </c>
      <c r="P23" t="inlineStr">
        <is>
          <t>External Grid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inlineStr">
        <is>
          <t>---</t>
        </is>
      </c>
      <c r="V23" t="inlineStr">
        <is>
          <t>---</t>
        </is>
      </c>
      <c r="W23" t="inlineStr">
        <is>
          <t>---</t>
        </is>
      </c>
      <c r="X23" t="inlineStr">
        <is>
          <t>---</t>
        </is>
      </c>
      <c r="Y23" t="inlineStr">
        <is>
          <t>---</t>
        </is>
      </c>
      <c r="Z23" t="inlineStr">
        <is>
          <t>---</t>
        </is>
      </c>
      <c r="AA23" t="inlineStr">
        <is>
          <t>---</t>
        </is>
      </c>
      <c r="AB23" t="inlineStr">
        <is>
          <t>---</t>
        </is>
      </c>
      <c r="AC23" t="inlineStr">
        <is>
          <t>---</t>
        </is>
      </c>
      <c r="AD23" t="inlineStr">
        <is>
          <t>---</t>
        </is>
      </c>
      <c r="AE23" t="inlineStr">
        <is>
          <t>---</t>
        </is>
      </c>
      <c r="AF23" t="inlineStr">
        <is>
          <t>---</t>
        </is>
      </c>
      <c r="AG23" t="inlineStr">
        <is>
          <t>---</t>
        </is>
      </c>
      <c r="AH23" t="inlineStr">
        <is>
          <t>---</t>
        </is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0</v>
      </c>
      <c r="B24" t="n">
        <v>0</v>
      </c>
      <c r="C24" t="n">
        <v>0</v>
      </c>
      <c r="D24" t="inlineStr">
        <is>
          <t>basic</t>
        </is>
      </c>
      <c r="E24" t="inlineStr">
        <is>
          <t>---</t>
        </is>
      </c>
      <c r="F24" t="inlineStr">
        <is>
          <t>line_1_1</t>
        </is>
      </c>
      <c r="G24" t="inlineStr">
        <is>
          <t>---</t>
        </is>
      </c>
      <c r="H24" t="n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1</v>
      </c>
      <c r="V24" t="n">
        <v>2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0.0437173362020712</v>
      </c>
      <c r="AC24" t="n">
        <v>8.057832500445714e-05</v>
      </c>
      <c r="AD24" t="n">
        <v>-0.04351326598193768</v>
      </c>
      <c r="AE24" t="n">
        <v>-4.879312141707051e-05</v>
      </c>
      <c r="AF24" t="n">
        <v>0.0002040702201335162</v>
      </c>
      <c r="AG24" t="n">
        <v>3.178520358738664e-05</v>
      </c>
      <c r="AH24" t="n">
        <v>23.54353998531623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1</v>
      </c>
      <c r="B25" t="n">
        <v>0</v>
      </c>
      <c r="C25" t="n">
        <v>1</v>
      </c>
      <c r="D25" t="inlineStr">
        <is>
          <t>basic</t>
        </is>
      </c>
      <c r="E25" t="inlineStr">
        <is>
          <t>---</t>
        </is>
      </c>
      <c r="F25" t="inlineStr">
        <is>
          <t>line_1_2</t>
        </is>
      </c>
      <c r="G25" t="inlineStr">
        <is>
          <t>---</t>
        </is>
      </c>
      <c r="H25" t="n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2</v>
      </c>
      <c r="V25" t="n">
        <v>3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0.03631326598194638</v>
      </c>
      <c r="AC25" t="n">
        <v>4.879312147322795e-05</v>
      </c>
      <c r="AD25" t="n">
        <v>-0.03617114207763448</v>
      </c>
      <c r="AE25" t="n">
        <v>-2.665644111764784e-05</v>
      </c>
      <c r="AF25" t="n">
        <v>0.0001421239043119041</v>
      </c>
      <c r="AG25" t="n">
        <v>2.213668035558011e-05</v>
      </c>
      <c r="AH25" t="n">
        <v>19.64787162322306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2</v>
      </c>
      <c r="B26" t="n">
        <v>0</v>
      </c>
      <c r="C26" t="n">
        <v>2</v>
      </c>
      <c r="D26" t="inlineStr">
        <is>
          <t>basic</t>
        </is>
      </c>
      <c r="E26" t="inlineStr">
        <is>
          <t>---</t>
        </is>
      </c>
      <c r="F26" t="inlineStr">
        <is>
          <t>line_1_3</t>
        </is>
      </c>
      <c r="G26" t="inlineStr">
        <is>
          <t>---</t>
        </is>
      </c>
      <c r="H26" t="n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3</v>
      </c>
      <c r="V26" t="n">
        <v>4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0.02897114207766616</v>
      </c>
      <c r="AC26" t="n">
        <v>2.665644116232684e-05</v>
      </c>
      <c r="AD26" t="n">
        <v>-0.02887996743912134</v>
      </c>
      <c r="AE26" t="n">
        <v>-1.245542522645233e-05</v>
      </c>
      <c r="AF26" t="n">
        <v>9.117463854481714e-05</v>
      </c>
      <c r="AG26" t="n">
        <v>1.420101593587451e-05</v>
      </c>
      <c r="AH26" t="n">
        <v>15.73689228487163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3</v>
      </c>
      <c r="B27" t="n">
        <v>0</v>
      </c>
      <c r="C27" t="n">
        <v>3</v>
      </c>
      <c r="D27" t="inlineStr">
        <is>
          <t>basic</t>
        </is>
      </c>
      <c r="E27" t="inlineStr">
        <is>
          <t>---</t>
        </is>
      </c>
      <c r="F27" t="inlineStr">
        <is>
          <t>line_1_4</t>
        </is>
      </c>
      <c r="G27" t="inlineStr">
        <is>
          <t>---</t>
        </is>
      </c>
      <c r="H27" t="n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4</v>
      </c>
      <c r="V27" t="n">
        <v>5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0.02167996743916265</v>
      </c>
      <c r="AC27" t="n">
        <v>1.24554252424222e-05</v>
      </c>
      <c r="AD27" t="n">
        <v>-0.02162858698183296</v>
      </c>
      <c r="AE27" t="n">
        <v>-4.452600060145077e-06</v>
      </c>
      <c r="AF27" t="n">
        <v>5.138045732969512e-05</v>
      </c>
      <c r="AG27" t="n">
        <v>8.002825182277119e-06</v>
      </c>
      <c r="AH27" t="n">
        <v>11.81356376608768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4</v>
      </c>
      <c r="B28" t="n">
        <v>0</v>
      </c>
      <c r="C28" t="n">
        <v>4</v>
      </c>
      <c r="D28" t="inlineStr">
        <is>
          <t>basic</t>
        </is>
      </c>
      <c r="E28" t="inlineStr">
        <is>
          <t>---</t>
        </is>
      </c>
      <c r="F28" t="inlineStr">
        <is>
          <t>line_1_5</t>
        </is>
      </c>
      <c r="G28" t="inlineStr">
        <is>
          <t>---</t>
        </is>
      </c>
      <c r="H28" t="n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5</v>
      </c>
      <c r="V28" t="n">
        <v>6</v>
      </c>
      <c r="W28" t="n">
        <v>0.038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0.01442858698190055</v>
      </c>
      <c r="AC28" t="n">
        <v>4.452600040908349e-06</v>
      </c>
      <c r="AD28" t="n">
        <v>-0.0144057210293779</v>
      </c>
      <c r="AE28" t="n">
        <v>-8.910859911039288e-07</v>
      </c>
      <c r="AF28" t="n">
        <v>2.286595252265489e-05</v>
      </c>
      <c r="AG28" t="n">
        <v>3.561514049804421e-06</v>
      </c>
      <c r="AH28" t="n">
        <v>7.880914135197385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5</v>
      </c>
      <c r="B29" t="n">
        <v>0</v>
      </c>
      <c r="C29" t="n">
        <v>5</v>
      </c>
      <c r="D29" t="inlineStr">
        <is>
          <t>basic</t>
        </is>
      </c>
      <c r="E29" t="inlineStr">
        <is>
          <t>---</t>
        </is>
      </c>
      <c r="F29" t="inlineStr">
        <is>
          <t>line_1_6</t>
        </is>
      </c>
      <c r="G29" t="inlineStr">
        <is>
          <t>---</t>
        </is>
      </c>
      <c r="H29" t="n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6</v>
      </c>
      <c r="V29" t="n">
        <v>7</v>
      </c>
      <c r="W29" t="n">
        <v>0.038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0.007205721029458927</v>
      </c>
      <c r="AC29" t="n">
        <v>8.910859389427183e-07</v>
      </c>
      <c r="AD29" t="n">
        <v>-0.00719999999991532</v>
      </c>
      <c r="AE29" t="n">
        <v>-7.323427888422662e-14</v>
      </c>
      <c r="AF29" t="n">
        <v>5.721029543606475e-06</v>
      </c>
      <c r="AG29" t="n">
        <v>8.910858657084394e-07</v>
      </c>
      <c r="AH29" t="n">
        <v>3.942021987314707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6</v>
      </c>
      <c r="B30" t="n">
        <v>0</v>
      </c>
      <c r="C30" t="n">
        <v>6</v>
      </c>
      <c r="D30" t="inlineStr">
        <is>
          <t>basic</t>
        </is>
      </c>
      <c r="E30" t="inlineStr">
        <is>
          <t>---</t>
        </is>
      </c>
      <c r="F30" t="inlineStr">
        <is>
          <t>line_2_1</t>
        </is>
      </c>
      <c r="G30" t="inlineStr">
        <is>
          <t>---</t>
        </is>
      </c>
      <c r="H30" t="n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line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n">
        <v>1</v>
      </c>
      <c r="V30" t="n">
        <v>8</v>
      </c>
      <c r="W30" t="n">
        <v>0.081</v>
      </c>
      <c r="X30" t="n">
        <v>0.27</v>
      </c>
      <c r="Y30" t="inlineStr">
        <is>
          <t>---</t>
        </is>
      </c>
      <c r="Z30" t="n">
        <v>1</v>
      </c>
      <c r="AA30" t="inlineStr">
        <is>
          <t>NFA2X 4x70</t>
        </is>
      </c>
      <c r="AB30" t="n">
        <v>0.01445950216168699</v>
      </c>
      <c r="AC30" t="n">
        <v>9.267831073656594e-06</v>
      </c>
      <c r="AD30" t="n">
        <v>-0.01441191617746745</v>
      </c>
      <c r="AE30" t="n">
        <v>-1.856018633142017e-06</v>
      </c>
      <c r="AF30" t="n">
        <v>4.758598421953503e-05</v>
      </c>
      <c r="AG30" t="n">
        <v>7.411812440514577e-06</v>
      </c>
      <c r="AH30" t="n">
        <v>7.787010567268557</v>
      </c>
      <c r="AI30" t="inlineStr">
        <is>
          <t>---</t>
        </is>
      </c>
      <c r="AJ30" t="inlineStr">
        <is>
          <t>---</t>
        </is>
      </c>
      <c r="AK30" t="inlineStr">
        <is>
          <t>---</t>
        </is>
      </c>
      <c r="AL30" t="inlineStr">
        <is>
          <t>---</t>
        </is>
      </c>
      <c r="AM30" t="inlineStr">
        <is>
          <t>---</t>
        </is>
      </c>
      <c r="AN30" t="inlineStr">
        <is>
          <t>---</t>
        </is>
      </c>
      <c r="AO30" t="inlineStr">
        <is>
          <t>---</t>
        </is>
      </c>
      <c r="AP30" t="inlineStr">
        <is>
          <t>---</t>
        </is>
      </c>
      <c r="AQ30" t="inlineStr">
        <is>
          <t>---</t>
        </is>
      </c>
      <c r="AR30" t="inlineStr">
        <is>
          <t>---</t>
        </is>
      </c>
      <c r="AS30" t="inlineStr">
        <is>
          <t>---</t>
        </is>
      </c>
    </row>
    <row r="31">
      <c r="A31" t="n">
        <v>7</v>
      </c>
      <c r="B31" t="n">
        <v>0</v>
      </c>
      <c r="C31" t="n">
        <v>7</v>
      </c>
      <c r="D31" t="inlineStr">
        <is>
          <t>basic</t>
        </is>
      </c>
      <c r="E31" t="inlineStr">
        <is>
          <t>---</t>
        </is>
      </c>
      <c r="F31" t="inlineStr">
        <is>
          <t>line_2_2</t>
        </is>
      </c>
      <c r="G31" t="inlineStr">
        <is>
          <t>---</t>
        </is>
      </c>
      <c r="H31" t="n">
        <v>1</v>
      </c>
      <c r="I31" t="inlineStr">
        <is>
          <t>---</t>
        </is>
      </c>
      <c r="J31" t="inlineStr">
        <is>
          <t>---</t>
        </is>
      </c>
      <c r="K31" t="inlineStr">
        <is>
          <t>---</t>
        </is>
      </c>
      <c r="L31" t="inlineStr">
        <is>
          <t>---</t>
        </is>
      </c>
      <c r="M31" t="inlineStr">
        <is>
          <t>line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n">
        <v>8</v>
      </c>
      <c r="V31" t="n">
        <v>9</v>
      </c>
      <c r="W31" t="n">
        <v>0.081</v>
      </c>
      <c r="X31" t="n">
        <v>0.27</v>
      </c>
      <c r="Y31" t="inlineStr">
        <is>
          <t>---</t>
        </is>
      </c>
      <c r="Z31" t="n">
        <v>1</v>
      </c>
      <c r="AA31" t="inlineStr">
        <is>
          <t>NFA2X 4x70</t>
        </is>
      </c>
      <c r="AB31" t="n">
        <v>0.007211916177477834</v>
      </c>
      <c r="AC31" t="n">
        <v>1.856018628777534e-06</v>
      </c>
      <c r="AD31" t="n">
        <v>-0.007199999999983562</v>
      </c>
      <c r="AE31" t="n">
        <v>-1.22881034774619e-14</v>
      </c>
      <c r="AF31" t="n">
        <v>1.191617749427259e-05</v>
      </c>
      <c r="AG31" t="n">
        <v>1.85601861648943e-06</v>
      </c>
      <c r="AH31" t="n">
        <v>3.896724639997698</v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0</v>
      </c>
      <c r="B32" t="n">
        <v>0</v>
      </c>
      <c r="C32" t="n">
        <v>0</v>
      </c>
      <c r="D32" t="inlineStr">
        <is>
          <t>basic</t>
        </is>
      </c>
      <c r="E32" t="inlineStr">
        <is>
          <t>---</t>
        </is>
      </c>
      <c r="F32" t="inlineStr">
        <is>
          <t>trafo 1</t>
        </is>
      </c>
      <c r="G32" t="inlineStr">
        <is>
          <t>---</t>
        </is>
      </c>
      <c r="H32" t="n">
        <v>1</v>
      </c>
      <c r="I32" t="inlineStr">
        <is>
          <t>---</t>
        </is>
      </c>
      <c r="J32" t="inlineStr">
        <is>
          <t>---</t>
        </is>
      </c>
      <c r="K32" t="inlineStr">
        <is>
          <t>---</t>
        </is>
      </c>
      <c r="L32" t="inlineStr">
        <is>
          <t>---</t>
        </is>
      </c>
      <c r="M32" t="inlineStr">
        <is>
          <t>trafo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n">
        <v>1</v>
      </c>
      <c r="AA32" t="inlineStr">
        <is>
          <t>0.1 MVA 10/0.4 kV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n">
        <v>0.0008619762942903425</v>
      </c>
      <c r="AG32" t="n">
        <v>0.001320709170422786</v>
      </c>
      <c r="AH32" t="n">
        <v>59.05566274752358</v>
      </c>
      <c r="AI32" t="n">
        <v>0</v>
      </c>
      <c r="AJ32" t="n">
        <v>1</v>
      </c>
      <c r="AK32" t="n">
        <v>10</v>
      </c>
      <c r="AL32" t="n">
        <v>0.4</v>
      </c>
      <c r="AM32" t="n">
        <v>0.45</v>
      </c>
      <c r="AN32" t="n">
        <v>150</v>
      </c>
      <c r="AO32" t="inlineStr">
        <is>
          <t>---</t>
        </is>
      </c>
      <c r="AP32" t="n">
        <v>0.05903881465799354</v>
      </c>
      <c r="AQ32" t="n">
        <v>0.001410555326221807</v>
      </c>
      <c r="AR32" t="n">
        <v>-0.0581768383637032</v>
      </c>
      <c r="AS32" t="n">
        <v>-8.984615579902123e-05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12">
    <outlinePr summaryBelow="1" summaryRight="1"/>
    <pageSetUpPr/>
  </sheetPr>
  <dimension ref="A2:C7"/>
  <sheetViews>
    <sheetView workbookViewId="0">
      <selection activeCell="H4" sqref="H4"/>
    </sheetView>
  </sheetViews>
  <sheetFormatPr baseColWidth="8" defaultRowHeight="15"/>
  <cols>
    <col width="13.140625" bestFit="1" customWidth="1" min="1" max="1"/>
    <col width="16.28515625" bestFit="1" customWidth="1" min="2" max="2"/>
    <col width="11.28515625" bestFit="1" customWidth="1" min="3" max="3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5">
    <outlinePr summaryBelow="1" summaryRight="1"/>
    <pageSetUpPr/>
  </sheetPr>
  <dimension ref="A1:D7"/>
  <sheetViews>
    <sheetView workbookViewId="0">
      <selection activeCell="AG28" sqref="AG28"/>
    </sheetView>
  </sheetViews>
  <sheetFormatPr baseColWidth="8" defaultRowHeight="15"/>
  <cols>
    <col width="13.5703125" bestFit="1" customWidth="1" min="1" max="1"/>
    <col width="16.28515625" bestFit="1" customWidth="1" min="2" max="2"/>
    <col width="12.140625" bestFit="1" customWidth="1" min="3" max="3"/>
    <col width="11.28515625" bestFit="1" customWidth="1" min="4" max="4"/>
    <col width="7.140625" bestFit="1" customWidth="1" min="5" max="5"/>
    <col width="13.28515625" bestFit="1" customWidth="1" min="6" max="6"/>
    <col width="12.42578125" bestFit="1" customWidth="1" min="7" max="8"/>
  </cols>
  <sheetData>
    <row r="1">
      <c r="A1" s="7" t="inlineStr">
        <is>
          <t>scenario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B4" t="inlineStr">
        <is>
          <t>(blank)</t>
        </is>
      </c>
      <c r="C4" t="inlineStr">
        <is>
          <t>(blank) Total</t>
        </is>
      </c>
      <c r="D4" t="inlineStr">
        <is>
          <t>Grand Total</t>
        </is>
      </c>
    </row>
    <row r="5">
      <c r="A5" s="7" t="inlineStr">
        <is>
          <t>Row Labels</t>
        </is>
      </c>
      <c r="B5" t="inlineStr">
        <is>
          <t>(blank)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6">
    <outlinePr summaryBelow="1" summaryRight="1"/>
    <pageSetUpPr/>
  </sheetPr>
  <dimension ref="A2:D8"/>
  <sheetViews>
    <sheetView workbookViewId="0">
      <selection activeCell="A5" sqref="A5"/>
    </sheetView>
  </sheetViews>
  <sheetFormatPr baseColWidth="8" defaultRowHeight="15"/>
  <cols>
    <col width="13.5703125" bestFit="1" customWidth="1" min="1" max="1"/>
    <col width="16.28515625" bestFit="1" customWidth="1" min="2" max="2"/>
    <col width="12.140625" bestFit="1" customWidth="1" min="3" max="3"/>
    <col width="11.28515625" bestFit="1" customWidth="1" min="4" max="5"/>
    <col width="15.140625" bestFit="1" customWidth="1" min="6" max="6"/>
    <col width="18.28515625" bestFit="1" customWidth="1" min="7" max="7"/>
    <col width="11.28515625" bestFit="1" customWidth="1" min="8" max="9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 xml:space="preserve">Sum of p_mw </t>
        </is>
      </c>
      <c r="B4" s="7" t="inlineStr">
        <is>
          <t>Column Labels</t>
        </is>
      </c>
    </row>
    <row r="5">
      <c r="B5" t="inlineStr">
        <is>
          <t>(blank)</t>
        </is>
      </c>
      <c r="C5" t="inlineStr">
        <is>
          <t>(blank)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inlineStr">
        <is>
          <t>(blank)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3">
    <outlinePr summaryBelow="1" summaryRight="1"/>
    <pageSetUpPr/>
  </sheetPr>
  <dimension ref="A1:C7"/>
  <sheetViews>
    <sheetView workbookViewId="0">
      <selection activeCell="AD26" sqref="AD26"/>
    </sheetView>
  </sheetViews>
  <sheetFormatPr baseColWidth="8" defaultRowHeight="15"/>
  <cols>
    <col width="13.7109375" bestFit="1" customWidth="1" min="1" max="1"/>
    <col width="16.28515625" bestFit="1" customWidth="1" min="2" max="2"/>
    <col width="11.28515625" bestFit="1" customWidth="1" min="3" max="3"/>
  </cols>
  <sheetData>
    <row r="1">
      <c r="A1" s="7" t="inlineStr">
        <is>
          <t>step</t>
        </is>
      </c>
      <c r="B1" t="inlineStr">
        <is>
          <t>(blank)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vm_pu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9">
    <outlinePr summaryBelow="1" summaryRight="1"/>
    <pageSetUpPr/>
  </sheetPr>
  <dimension ref="A1:D6"/>
  <sheetViews>
    <sheetView workbookViewId="0">
      <selection activeCell="J27" sqref="J27"/>
    </sheetView>
  </sheetViews>
  <sheetFormatPr baseColWidth="8" defaultRowHeight="15"/>
  <cols>
    <col width="13.140625" bestFit="1" customWidth="1" min="1" max="1"/>
    <col width="22.42578125" bestFit="1" customWidth="1" min="2" max="2"/>
    <col width="22.140625" bestFit="1" customWidth="1" min="3" max="3"/>
    <col width="26" bestFit="1" customWidth="1" min="4" max="4"/>
    <col width="27.42578125" bestFit="1" customWidth="1" min="5" max="5"/>
    <col width="27.140625" bestFit="1" customWidth="1" min="6" max="6"/>
    <col width="31" bestFit="1" customWidth="1" min="7" max="7"/>
    <col width="30.7109375" bestFit="1" customWidth="1" min="8" max="8"/>
    <col width="34.28515625" bestFit="1" customWidth="1" min="9" max="9"/>
    <col width="31.42578125" bestFit="1" customWidth="1" min="10" max="10"/>
    <col width="30.7109375" bestFit="1" customWidth="1" min="11" max="11"/>
    <col width="34.28515625" bestFit="1" customWidth="1" min="12" max="12"/>
    <col width="31.42578125" bestFit="1" customWidth="1" min="13" max="13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0">
    <outlinePr summaryBelow="1" summaryRight="1"/>
    <pageSetUpPr/>
  </sheetPr>
  <dimension ref="A3:C8"/>
  <sheetViews>
    <sheetView workbookViewId="0">
      <selection activeCell="J27" sqref="J27"/>
    </sheetView>
  </sheetViews>
  <sheetFormatPr baseColWidth="8" defaultRowHeight="15"/>
  <cols>
    <col width="13.7109375" bestFit="1" customWidth="1" min="1" max="1"/>
    <col width="16.28515625" bestFit="1" customWidth="1" min="2" max="2"/>
    <col width="11.28515625" bestFit="1" customWidth="1" min="3" max="3"/>
    <col width="12.42578125" bestFit="1" customWidth="1" min="4" max="5"/>
    <col width="20.7109375" bestFit="1" customWidth="1" min="6" max="6"/>
    <col width="21.85546875" bestFit="1" customWidth="1" min="7" max="7"/>
    <col width="24.28515625" bestFit="1" customWidth="1" min="8" max="8"/>
    <col width="25.28515625" bestFit="1" customWidth="1" min="9" max="9"/>
  </cols>
  <sheetData>
    <row r="3">
      <c r="A3" s="7" t="inlineStr">
        <is>
          <t>scenario</t>
        </is>
      </c>
      <c r="B3" t="inlineStr">
        <is>
          <t>(All)</t>
        </is>
      </c>
    </row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2:C7"/>
  <sheetViews>
    <sheetView workbookViewId="0">
      <selection activeCell="D33" sqref="D33:D34"/>
    </sheetView>
  </sheetViews>
  <sheetFormatPr baseColWidth="8" defaultRowHeight="15"/>
  <cols>
    <col width="13.7109375" bestFit="1" customWidth="1" min="1" max="1"/>
    <col width="16.28515625" bestFit="1" customWidth="1" min="2" max="2"/>
    <col width="11.28515625" bestFit="1" customWidth="1" min="3" max="3"/>
    <col width="25.7109375" bestFit="1" customWidth="1" min="4" max="4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5">
    <outlinePr summaryBelow="1" summaryRight="1"/>
    <pageSetUpPr/>
  </sheetPr>
  <dimension ref="A1:D6"/>
  <sheetViews>
    <sheetView workbookViewId="0">
      <selection activeCell="D33" sqref="D33:D34"/>
    </sheetView>
  </sheetViews>
  <sheetFormatPr baseColWidth="8" defaultRowHeight="15"/>
  <cols>
    <col width="13.140625" bestFit="1" customWidth="1" min="1" max="1"/>
    <col width="22.42578125" bestFit="1" customWidth="1" min="2" max="2"/>
    <col width="22.140625" bestFit="1" customWidth="1" min="3" max="3"/>
    <col width="26" bestFit="1" customWidth="1" min="4" max="4"/>
    <col width="27.42578125" bestFit="1" customWidth="1" min="5" max="5"/>
    <col width="27.140625" bestFit="1" customWidth="1" min="6" max="6"/>
    <col width="31" bestFit="1" customWidth="1" min="7" max="7"/>
    <col width="30.7109375" bestFit="1" customWidth="1" min="8" max="8"/>
    <col width="35.28515625" bestFit="1" customWidth="1" min="9" max="9"/>
    <col width="31.42578125" bestFit="1" customWidth="1" min="10" max="10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Martin Oviedo</dc:creator>
  <dcterms:created xmlns:dcterms="http://purl.org/dc/terms/" xmlns:xsi="http://www.w3.org/2001/XMLSchema-instance" xsi:type="dcterms:W3CDTF">2022-11-16T19:56:03Z</dcterms:created>
  <dcterms:modified xmlns:dcterms="http://purl.org/dc/terms/" xmlns:xsi="http://www.w3.org/2001/XMLSchema-instance" xsi:type="dcterms:W3CDTF">2023-01-19T14:57:21Z</dcterms:modified>
  <cp:lastModifiedBy>Martin Oviedo</cp:lastModifiedBy>
</cp:coreProperties>
</file>