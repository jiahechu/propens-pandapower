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tables/table3.xml" ContentType="application/vnd.openxmlformats-officedocument.spreadsheetml.table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worksheets/sheet7.xml" ContentType="application/vnd.openxmlformats-officedocument.spreadsheetml.worksheet+xml"/>
  <Override PartName="/xl/tables/table5.xml" ContentType="application/vnd.openxmlformats-officedocument.spreadsheetml.table+xml"/>
  <Override PartName="/xl/worksheets/sheet8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9.xml" ContentType="application/vnd.openxmlformats-officedocument.spreadsheetml.worksheet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10.xml" ContentType="application/vnd.openxmlformats-officedocument.spreadsheetml.worksheet+xml"/>
  <Override PartName="/xl/pivotTables/pivotTable3.xml" ContentType="application/vnd.openxmlformats-officedocument.spreadsheetml.pivotTable+xml"/>
  <Override PartName="/xl/worksheets/sheet11.xml" ContentType="application/vnd.openxmlformats-officedocument.spreadsheetml.worksheet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12.xml" ContentType="application/vnd.openxmlformats-officedocument.spreadsheetml.worksheet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5.xml" ContentType="application/vnd.openxmlformats-officedocument.spreadsheetml.pivotTable+xml"/>
  <Override PartName="/xl/worksheets/sheet13.xml" ContentType="application/vnd.openxmlformats-officedocument.spreadsheetml.worksheet+xml"/>
  <Override PartName="/xl/pivotTables/pivotTable6.xml" ContentType="application/vnd.openxmlformats-officedocument.spreadsheetml.pivotTable+xml"/>
  <Override PartName="/xl/worksheets/sheet14.xml" ContentType="application/vnd.openxmlformats-officedocument.spreadsheetml.worksheet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5.xml" ContentType="application/vnd.openxmlformats-officedocument.spreadsheetml.worksheet+xml"/>
  <Override PartName="/xl/pivotTables/pivotTable8.xml" ContentType="application/vnd.openxmlformats-officedocument.spreadsheetml.pivot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23256" windowHeight="12456" tabRatio="799" firstSheet="0" activeTab="6" autoFilterDateGrouping="1"/>
  </bookViews>
  <sheets>
    <sheet name="Summary" sheetId="1" state="visible" r:id="rId1"/>
    <sheet name="Dashboard" sheetId="2" state="visible" r:id="rId2"/>
    <sheet name="Demand" sheetId="3" state="visible" r:id="rId3"/>
    <sheet name="Generation" sheetId="4" state="visible" r:id="rId4"/>
    <sheet name="Buses" sheetId="5" state="visible" r:id="rId5"/>
    <sheet name="Lines" sheetId="6" state="visible" r:id="rId6"/>
    <sheet name="Trafos" sheetId="7" state="visible" r:id="rId7"/>
    <sheet name="Demand01" sheetId="8" state="hidden" r:id="rId8"/>
    <sheet name="Gen01" sheetId="9" state="hidden" r:id="rId9"/>
    <sheet name="Gen02" sheetId="10" state="hidden" r:id="rId10"/>
    <sheet name="bus01" sheetId="11" state="hidden" r:id="rId11"/>
    <sheet name="Lines01" sheetId="12" state="hidden" r:id="rId12"/>
    <sheet name="Lines02" sheetId="13" state="hidden" r:id="rId13"/>
    <sheet name="Trafos01" sheetId="14" state="hidden" r:id="rId14"/>
    <sheet name="Trafos02" sheetId="15" state="hidden" r:id="rId15"/>
  </sheets>
  <definedNames/>
  <calcPr calcId="191029" fullCalcOnLoad="1"/>
  <pivotCaches>
    <pivotCache cacheId="8" r:id="rId16"/>
    <pivotCache cacheId="5" r:id="rId17"/>
    <pivotCache cacheId="7" r:id="rId18"/>
    <pivotCache cacheId="9" r:id="rId19"/>
    <pivotCache cacheId="6" r:id="rId20"/>
  </pivotCaches>
</workbook>
</file>

<file path=xl/styles.xml><?xml version="1.0" encoding="utf-8"?>
<styleSheet xmlns="http://schemas.openxmlformats.org/spreadsheetml/2006/main">
  <numFmts count="0"/>
  <fonts count="5">
    <font>
      <name val="Calibri"/>
      <family val="2"/>
      <color theme="1"/>
      <sz val="11"/>
      <scheme val="minor"/>
    </font>
    <font>
      <name val="Calibri"/>
      <family val="2"/>
      <sz val="8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rgb="FF000000"/>
      <sz val="11"/>
    </font>
  </fonts>
  <fills count="4">
    <fill>
      <patternFill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"/>
        <bgColor theme="8" tint="0.7999816888943144"/>
      </patternFill>
    </fill>
  </fills>
  <borders count="4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medium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/>
      <bottom/>
      <diagonal/>
    </border>
  </borders>
  <cellStyleXfs count="1">
    <xf numFmtId="0" fontId="0" fillId="0" borderId="0"/>
  </cellStyleXfs>
  <cellXfs count="18">
    <xf numFmtId="0" fontId="0" fillId="0" borderId="0" pivotButton="0" quotePrefix="0" xfId="0"/>
    <xf numFmtId="0" fontId="0" fillId="0" borderId="0" applyAlignment="1" pivotButton="0" quotePrefix="0" xfId="0">
      <alignment vertical="top" wrapText="1"/>
    </xf>
    <xf numFmtId="0" fontId="0" fillId="0" borderId="0" applyAlignment="1" pivotButton="0" quotePrefix="1" xfId="0">
      <alignment horizontal="center" vertical="top" wrapText="1"/>
    </xf>
    <xf numFmtId="0" fontId="3" fillId="0" borderId="1" applyAlignment="1" pivotButton="0" quotePrefix="0" xfId="0">
      <alignment horizontal="center" vertical="top" wrapText="1"/>
    </xf>
    <xf numFmtId="0" fontId="0" fillId="3" borderId="2" pivotButton="0" quotePrefix="0" xfId="0"/>
    <xf numFmtId="0" fontId="0" fillId="0" borderId="2" pivotButton="0" quotePrefix="0" xfId="0"/>
    <xf numFmtId="0" fontId="3" fillId="0" borderId="0" applyAlignment="1" pivotButton="0" quotePrefix="0" xfId="0">
      <alignment horizontal="center" vertical="top" wrapText="1"/>
    </xf>
    <xf numFmtId="0" fontId="0" fillId="0" borderId="0" pivotButton="1" quotePrefix="0" xfId="0"/>
    <xf numFmtId="0" fontId="0" fillId="0" borderId="0" applyAlignment="1" pivotButton="0" quotePrefix="0" xfId="0">
      <alignment horizontal="left"/>
    </xf>
    <xf numFmtId="0" fontId="0" fillId="0" borderId="0" applyAlignment="1" pivotButton="0" quotePrefix="0" xfId="0">
      <alignment horizontal="left" indent="1"/>
    </xf>
    <xf numFmtId="0" fontId="0" fillId="0" borderId="0" applyAlignment="1" pivotButton="0" quotePrefix="0" xfId="0">
      <alignment horizontal="left" indent="2"/>
    </xf>
    <xf numFmtId="0" fontId="3" fillId="0" borderId="0" applyAlignment="1" pivotButton="0" quotePrefix="0" xfId="0">
      <alignment horizontal="center" vertical="center" wrapText="1"/>
    </xf>
    <xf numFmtId="0" fontId="0" fillId="0" borderId="3" pivotButton="0" quotePrefix="0" xfId="0"/>
    <xf numFmtId="0" fontId="3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top"/>
    </xf>
    <xf numFmtId="0" fontId="3" fillId="0" borderId="1" applyAlignment="1" pivotButton="0" quotePrefix="1" xfId="0">
      <alignment horizontal="center" vertical="center" wrapText="1"/>
    </xf>
    <xf numFmtId="0" fontId="0" fillId="3" borderId="0" pivotButton="0" quotePrefix="0" xfId="0"/>
    <xf numFmtId="0" fontId="2" fillId="2" borderId="0" applyAlignment="1" pivotButton="0" quotePrefix="0" xfId="0">
      <alignment horizontal="center" vertical="center"/>
    </xf>
  </cellXfs>
  <cellStyles count="1">
    <cellStyle name="Normal" xfId="0" builtinId="0"/>
  </cellStyles>
  <dxfs count="44">
    <dxf>
      <alignment horizontal="center" vertical="top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ill>
        <patternFill patternType="solid">
          <fgColor theme="8" tint="0.7999816888943144"/>
          <bgColor theme="8" tint="0.7999816888943144"/>
        </patternFill>
      </fill>
    </dxf>
    <dxf>
      <alignment horizontal="center" vertical="top"/>
    </dxf>
    <dxf>
      <alignment horizontal="center" vertical="top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pivotCacheDefinition" Target="/xl/pivotCache/pivotCacheDefinition1.xml" Id="rId16" /><Relationship Type="http://schemas.openxmlformats.org/officeDocument/2006/relationships/pivotCacheDefinition" Target="/xl/pivotCache/pivotCacheDefinition2.xml" Id="rId17" /><Relationship Type="http://schemas.openxmlformats.org/officeDocument/2006/relationships/pivotCacheDefinition" Target="/xl/pivotCache/pivotCacheDefinition3.xml" Id="rId18" /><Relationship Type="http://schemas.openxmlformats.org/officeDocument/2006/relationships/pivotCacheDefinition" Target="/xl/pivotCache/pivotCacheDefinition4.xml" Id="rId19" /><Relationship Type="http://schemas.openxmlformats.org/officeDocument/2006/relationships/pivotCacheDefinition" Target="/xl/pivotCache/pivotCacheDefinition5.xml" Id="rId20" /><Relationship Type="http://schemas.openxmlformats.org/officeDocument/2006/relationships/styles" Target="styles.xml" Id="rId21" /><Relationship Type="http://schemas.openxmlformats.org/officeDocument/2006/relationships/theme" Target="theme/theme1.xml" Id="rId22" /><Relationship Type="http://schemas.microsoft.com/office/2006/relationships/vbaProject" Target="vbaProject.bin" Id="rId23" /></Relationships>
</file>

<file path=xl/charts/chart1.xml><?xml version="1.0" encoding="utf-8"?>
<chartSpace xmlns:a="http://schemas.openxmlformats.org/drawingml/2006/main" xmlns="http://schemas.openxmlformats.org/drawingml/2006/chart">
  <pivotSource>
    <name>[output_template.xlsm]Lines01!PivotTable2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Maximum,</a:t>
            </a:r>
            <a:r>
              <a:rPr lang="en-US" baseline="0"/>
              <a:t xml:space="preserve"> average and minimum loading of lines</a:t>
            </a:r>
            <a:endParaRPr lang="en-US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9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4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5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Lines01!$B$4</f>
              <strCache>
                <ptCount val="1"/>
                <pt idx="0">
                  <v>Max of Loading Percent [%]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Lines01!$A$5:$A$16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Lines01!$B$5:$B$16</f>
              <numCache>
                <formatCode>General</formatCode>
                <ptCount val="11"/>
                <pt idx="0">
                  <v>100.1731638810112</v>
                </pt>
                <pt idx="1">
                  <v>110.1904802691123</v>
                </pt>
                <pt idx="2">
                  <v>121.2095282960236</v>
                </pt>
                <pt idx="3">
                  <v>133.330481125626</v>
                </pt>
                <pt idx="4">
                  <v>146.6635292381886</v>
                </pt>
                <pt idx="5">
                  <v>161.3298821620074</v>
                </pt>
                <pt idx="6">
                  <v>177.4628703782082</v>
                </pt>
                <pt idx="7">
                  <v>195.2091574160291</v>
                </pt>
                <pt idx="8">
                  <v>214.730073157632</v>
                </pt>
                <pt idx="9">
                  <v>236.2030804733952</v>
                </pt>
                <pt idx="10">
                  <v>259.8233885207347</v>
                </pt>
              </numCache>
            </numRef>
          </val>
          <smooth val="0"/>
        </ser>
        <ser>
          <idx val="1"/>
          <order val="1"/>
          <tx>
            <strRef>
              <f>Lines01!$C$4</f>
              <strCache>
                <ptCount val="1"/>
                <pt idx="0">
                  <v>Average of Loading Percent [%]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Lines01!$A$5:$A$16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Lines01!$C$5:$C$16</f>
              <numCache>
                <formatCode>General</formatCode>
                <ptCount val="11"/>
                <pt idx="0">
                  <v>27.14337412240021</v>
                </pt>
                <pt idx="1">
                  <v>29.85771153464023</v>
                </pt>
                <pt idx="2">
                  <v>32.84348268810426</v>
                </pt>
                <pt idx="3">
                  <v>36.12783095691469</v>
                </pt>
                <pt idx="4">
                  <v>39.74061405260616</v>
                </pt>
                <pt idx="5">
                  <v>43.71467545786678</v>
                </pt>
                <pt idx="6">
                  <v>48.08614300365347</v>
                </pt>
                <pt idx="7">
                  <v>52.89475730401882</v>
                </pt>
                <pt idx="8">
                  <v>58.18423303442071</v>
                </pt>
                <pt idx="9">
                  <v>64.00265633786279</v>
                </pt>
                <pt idx="10">
                  <v>70.40292197164906</v>
                </pt>
              </numCache>
            </numRef>
          </val>
          <smooth val="0"/>
        </ser>
        <ser>
          <idx val="2"/>
          <order val="2"/>
          <tx>
            <strRef>
              <f>Lines01!$D$4</f>
              <strCache>
                <ptCount val="1"/>
                <pt idx="0">
                  <v>Min of Loading Percent [%]2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Lines01!$A$5:$A$16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Lines01!$D$5:$D$16</f>
              <numCache>
                <formatCode>General</formatCode>
                <ptCount val="11"/>
                <pt idx="0">
                  <v>7.234050190158276e-05</v>
                </pt>
                <pt idx="1">
                  <v>7.957455209174104e-05</v>
                </pt>
                <pt idx="2">
                  <v>8.753200730091515e-05</v>
                </pt>
                <pt idx="3">
                  <v>9.628520803100668e-05</v>
                </pt>
                <pt idx="4">
                  <v>0.0001059137288341074</v>
                </pt>
                <pt idx="5">
                  <v>0.0001165051017175181</v>
                </pt>
                <pt idx="6">
                  <v>0.0001281556118892699</v>
                </pt>
                <pt idx="7">
                  <v>0.0001409711730781969</v>
                </pt>
                <pt idx="8">
                  <v>0.0001550682903860166</v>
                </pt>
                <pt idx="9">
                  <v>0.0001705751194246183</v>
                </pt>
                <pt idx="10">
                  <v>0.0001876326313670801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66656000"/>
        <axId val="1066656416"/>
      </lineChart>
      <catAx>
        <axId val="1066656000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416"/>
        <crosses val="autoZero"/>
        <auto val="1"/>
        <lblAlgn val="ctr"/>
        <lblOffset val="100"/>
        <noMultiLvlLbl val="0"/>
      </catAx>
      <valAx>
        <axId val="106665641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00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[output_template.xlsm]Lines02!PivotTable3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</a:t>
            </a:r>
            <a:r>
              <a:rPr lang="en-US" baseline="0"/>
              <a:t xml:space="preserve"> Losses</a:t>
            </a:r>
            <a:endParaRPr lang="en-US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cked"/>
        <varyColors val="0"/>
        <ser>
          <idx val="0"/>
          <order val="0"/>
          <tx>
            <strRef>
              <f>Lines02!$B$4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cat>
            <strRef>
              <f>Lines02!$A$5:$A$16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Lines02!$B$5:$B$16</f>
              <numCache>
                <formatCode>General</formatCode>
                <ptCount val="11"/>
                <pt idx="0">
                  <v>5.027180043283985</v>
                </pt>
                <pt idx="1">
                  <v>5.529898047612384</v>
                </pt>
                <pt idx="2">
                  <v>6.082887852373622</v>
                </pt>
                <pt idx="3">
                  <v>6.691176637610985</v>
                </pt>
                <pt idx="4">
                  <v>7.360294301372084</v>
                </pt>
                <pt idx="5">
                  <v>8.096323731509294</v>
                </pt>
                <pt idx="6">
                  <v>8.905956104660223</v>
                </pt>
                <pt idx="7">
                  <v>9.796551715126247</v>
                </pt>
                <pt idx="8">
                  <v>10.77620688663887</v>
                </pt>
                <pt idx="9">
                  <v>11.85382757530276</v>
                </pt>
                <pt idx="10">
                  <v>13.03921033283304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94179664"/>
        <axId val="1194155536"/>
      </lineChart>
      <catAx>
        <axId val="1194179664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55536"/>
        <crosses val="autoZero"/>
        <auto val="1"/>
        <lblAlgn val="ctr"/>
        <lblOffset val="100"/>
        <noMultiLvlLbl val="0"/>
      </catAx>
      <valAx>
        <axId val="119415553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79664"/>
        <crosses val="autoZero"/>
        <crossBetween val="between"/>
      </valAx>
    </plotArea>
    <plotVisOnly val="1"/>
    <dispBlanksAs val="zero"/>
  </chart>
</chartSpace>
</file>

<file path=xl/charts/chart3.xml><?xml version="1.0" encoding="utf-8"?>
<chartSpace xmlns:a="http://schemas.openxmlformats.org/drawingml/2006/main" xmlns="http://schemas.openxmlformats.org/drawingml/2006/chart">
  <pivotSource>
    <name>[output_template.xlsm]Gen01!ptgen01</name>
    <fmtId val="1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3"/>
        <spPr>
          <a:solidFill>
            <a:schemeClr val="accent3"/>
          </a:solidFill>
          <a:ln w="25400"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4"/>
        <spPr>
          <a:solidFill>
            <a:schemeClr val="accent5"/>
          </a:solidFill>
          <a:ln w="25400"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</pivotFmts>
    <plotArea>
      <layout/>
      <areaChart>
        <grouping val="stacked"/>
        <varyColors val="0"/>
        <ser>
          <idx val="0"/>
          <order val="0"/>
          <tx>
            <strRef>
              <f>'Gen01'!$C$3:$C$5</f>
              <strCache>
                <ptCount val="1"/>
                <pt idx="0">
                  <v>Coal - Steam Turbine</v>
                </pt>
              </strCache>
            </strRef>
          </tx>
          <spPr>
            <a:solidFill>
              <a:schemeClr val="accent1"/>
            </a:solidFill>
            <a:ln>
              <a:noFill/>
              <a:prstDash val="solid"/>
            </a:ln>
          </spPr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'Gen01'!$C$6:$C$17</f>
              <numCache>
                <formatCode>General</formatCode>
                <ptCount val="11"/>
                <pt idx="0">
                  <v>40</v>
                </pt>
                <pt idx="1">
                  <v>44</v>
                </pt>
                <pt idx="2">
                  <v>48.40000000000001</v>
                </pt>
                <pt idx="3">
                  <v>53.24000000000001</v>
                </pt>
                <pt idx="4">
                  <v>58.56400000000001</v>
                </pt>
                <pt idx="5">
                  <v>64.42040000000001</v>
                </pt>
                <pt idx="6">
                  <v>70.86244000000002</v>
                </pt>
                <pt idx="7">
                  <v>77.94868400000003</v>
                </pt>
                <pt idx="8">
                  <v>85.74355240000004</v>
                </pt>
                <pt idx="9">
                  <v>94.31790764000006</v>
                </pt>
                <pt idx="10">
                  <v>103.7496984040001</v>
                </pt>
              </numCache>
            </numRef>
          </val>
        </ser>
        <ser>
          <idx val="1"/>
          <order val="1"/>
          <tx>
            <strRef>
              <f>'Gen01'!$E$3:$E$5</f>
              <strCache>
                <ptCount val="1"/>
                <pt idx="0">
                  <v>NG - Gas Turbine</v>
                </pt>
              </strCache>
            </strRef>
          </tx>
          <spPr>
            <a:solidFill>
              <a:schemeClr val="accent3"/>
            </a:solidFill>
            <a:ln w="25400">
              <a:noFill/>
              <a:prstDash val="solid"/>
            </a:ln>
          </spPr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'Gen01'!$E$6:$E$17</f>
              <numCache>
                <formatCode>General</formatCode>
                <ptCount val="11"/>
                <pt idx="0">
                  <v>323.49</v>
                </pt>
                <pt idx="1">
                  <v>355.8390000000001</v>
                </pt>
                <pt idx="2">
                  <v>391.4229000000001</v>
                </pt>
                <pt idx="3">
                  <v>430.5651900000001</v>
                </pt>
                <pt idx="4">
                  <v>473.6217090000002</v>
                </pt>
                <pt idx="5">
                  <v>520.9838799000003</v>
                </pt>
                <pt idx="6">
                  <v>573.0822678900004</v>
                </pt>
                <pt idx="7">
                  <v>630.3904946790004</v>
                </pt>
                <pt idx="8">
                  <v>693.4295441469005</v>
                </pt>
                <pt idx="9">
                  <v>762.7724985615906</v>
                </pt>
                <pt idx="10">
                  <v>839.0497484177497</v>
                </pt>
              </numCache>
            </numRef>
          </val>
        </ser>
        <ser>
          <idx val="2"/>
          <order val="2"/>
          <tx>
            <strRef>
              <f>'Gen01'!$G$3:$G$5</f>
              <strCache>
                <ptCount val="1"/>
                <pt idx="0">
                  <v>Wind - Wind Turbine</v>
                </pt>
              </strCache>
            </strRef>
          </tx>
          <spPr>
            <a:solidFill>
              <a:schemeClr val="accent5"/>
            </a:solidFill>
            <a:ln w="25400">
              <a:noFill/>
              <a:prstDash val="solid"/>
            </a:ln>
          </spPr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'Gen01'!$G$6:$G$17</f>
              <numCache>
                <formatCode>General</formatCode>
                <ptCount val="11"/>
                <pt idx="0">
                  <v>466.51</v>
                </pt>
                <pt idx="1">
                  <v>513.1610000000001</v>
                </pt>
                <pt idx="2">
                  <v>564.4771000000001</v>
                </pt>
                <pt idx="3">
                  <v>620.9248100000001</v>
                </pt>
                <pt idx="4">
                  <v>683.0172910000001</v>
                </pt>
                <pt idx="5">
                  <v>751.3190201000002</v>
                </pt>
                <pt idx="6">
                  <v>826.4509221100003</v>
                </pt>
                <pt idx="7">
                  <v>909.0960143210004</v>
                </pt>
                <pt idx="8">
                  <v>1000.005615753101</v>
                </pt>
                <pt idx="9">
                  <v>1100.006177328411</v>
                </pt>
                <pt idx="10">
                  <v>1210.006795061252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  <overlay val="0"/>
    </legend>
    <plotVisOnly val="1"/>
    <dispBlanksAs val="zero"/>
  </chart>
</chartSpace>
</file>

<file path=xl/charts/chart4.xml><?xml version="1.0" encoding="utf-8"?>
<chartSpace xmlns:a="http://schemas.openxmlformats.org/drawingml/2006/main" xmlns="http://schemas.openxmlformats.org/drawingml/2006/chart">
  <pivotSource>
    <name>[output_template.xlsm]Trafos01!PivotTable1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Trafo Losses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Trafos01!$B$4:$B$6</f>
              <strCache>
                <ptCount val="1"/>
                <pt idx="0">
                  <v>10 - 0.4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cat>
            <strRef>
              <f>Trafos01!$A$7:$A$18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Trafos01!$B$7:$B$18</f>
              <numCache>
                <formatCode>General</formatCode>
                <ptCount val="11"/>
                <pt idx="0">
                  <v>0.004240566305308572</v>
                </pt>
                <pt idx="1">
                  <v>0.00706761050884762</v>
                </pt>
                <pt idx="2">
                  <v>0.00706761050884762</v>
                </pt>
                <pt idx="3">
                  <v>0.008481132610617144</v>
                </pt>
                <pt idx="4">
                  <v>0.01017735913274057</v>
                </pt>
                <pt idx="5">
                  <v>0.01221283095928868</v>
                </pt>
                <pt idx="6">
                  <v>0.01465539715114642</v>
                </pt>
                <pt idx="7">
                  <v>0.0175864765813757</v>
                </pt>
                <pt idx="8">
                  <v>0.02110377189765084</v>
                </pt>
                <pt idx="9">
                  <v>0.02532452627718101</v>
                </pt>
                <pt idx="10">
                  <v>0.03038943153261721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36767343"/>
        <axId val="36771919"/>
      </lineChart>
      <catAx>
        <axId val="36767343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71919"/>
        <crosses val="autoZero"/>
        <auto val="1"/>
        <lblAlgn val="ctr"/>
        <lblOffset val="100"/>
        <noMultiLvlLbl val="0"/>
      </catAx>
      <valAx>
        <axId val="36771919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67343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pivotSource>
    <name>[output_template.xlsm]Trafos02!PivotTable2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effectLst/>
              </a:rPr>
              <a:t>Maximum, average and minimum loading of Trafos</a:t>
            </a:r>
            <a:endParaRPr lang="en-US" sz="1100">
              <effectLst/>
            </a:endParaRP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Trafos02!$B$4:$B$7</f>
              <strCache>
                <ptCount val="1"/>
                <pt idx="0">
                  <v>Max of Loading Percent [%] - 10 - 0.4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Trafos02!$A$8:$A$19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Trafos02!$B$8:$B$19</f>
              <numCache>
                <formatCode>General</formatCode>
                <ptCount val="11"/>
                <pt idx="0">
                  <v>52.42563832807324</v>
                </pt>
                <pt idx="1">
                  <v>52.42563832807324</v>
                </pt>
                <pt idx="2">
                  <v>52.42563832807324</v>
                </pt>
                <pt idx="3">
                  <v>56.4256383280732</v>
                </pt>
                <pt idx="4">
                  <v>61.4256383280732</v>
                </pt>
                <pt idx="5">
                  <v>66.42563832807321</v>
                </pt>
                <pt idx="6">
                  <v>71.42563832807321</v>
                </pt>
                <pt idx="7">
                  <v>76.42563832807321</v>
                </pt>
                <pt idx="8">
                  <v>81.42563832807321</v>
                </pt>
                <pt idx="9">
                  <v>86.42563832807321</v>
                </pt>
                <pt idx="10">
                  <v>91.42563832807321</v>
                </pt>
              </numCache>
            </numRef>
          </val>
          <smooth val="0"/>
        </ser>
        <ser>
          <idx val="1"/>
          <order val="1"/>
          <tx>
            <strRef>
              <f>Trafos02!$D$4:$D$7</f>
              <strCache>
                <ptCount val="1"/>
                <pt idx="0">
                  <v>Average of Loading Percent [%]2 - 10 - 0.4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Trafos02!$A$8:$A$19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Trafos02!$D$8:$D$19</f>
              <numCache>
                <formatCode>General</formatCode>
                <ptCount val="11"/>
                <pt idx="0">
                  <v>52.42563832807324</v>
                </pt>
                <pt idx="1">
                  <v>52.42563832807324</v>
                </pt>
                <pt idx="2">
                  <v>52.42563832807324</v>
                </pt>
                <pt idx="3">
                  <v>54.42563832807321</v>
                </pt>
                <pt idx="4">
                  <v>59.42563832807319</v>
                </pt>
                <pt idx="5">
                  <v>64.42563832807321</v>
                </pt>
                <pt idx="6">
                  <v>69.42563832807321</v>
                </pt>
                <pt idx="7">
                  <v>74.42563832807321</v>
                </pt>
                <pt idx="8">
                  <v>79.42563832807321</v>
                </pt>
                <pt idx="9">
                  <v>84.42563832807321</v>
                </pt>
                <pt idx="10">
                  <v>89.42563832807321</v>
                </pt>
              </numCache>
            </numRef>
          </val>
          <smooth val="0"/>
        </ser>
        <ser>
          <idx val="2"/>
          <order val="2"/>
          <tx>
            <strRef>
              <f>Trafos02!$F$4:$F$7</f>
              <strCache>
                <ptCount val="1"/>
                <pt idx="0">
                  <v>Min of Loading Percent [%]3 - 10 - 0.4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Trafos02!$A$8:$A$19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Trafos02!$F$8:$F$19</f>
              <numCache>
                <formatCode>General</formatCode>
                <ptCount val="11"/>
                <pt idx="0">
                  <v>52.42563832807324</v>
                </pt>
                <pt idx="1">
                  <v>52.42563832807324</v>
                </pt>
                <pt idx="2">
                  <v>52.42563832807324</v>
                </pt>
                <pt idx="3">
                  <v>52.42563832807324</v>
                </pt>
                <pt idx="4">
                  <v>57.4256383280732</v>
                </pt>
                <pt idx="5">
                  <v>62.4256383280732</v>
                </pt>
                <pt idx="6">
                  <v>67.42563832807321</v>
                </pt>
                <pt idx="7">
                  <v>72.42563832807321</v>
                </pt>
                <pt idx="8">
                  <v>77.42563832807321</v>
                </pt>
                <pt idx="9">
                  <v>82.42563832807321</v>
                </pt>
                <pt idx="10">
                  <v>87.42563832807321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366973007"/>
        <axId val="366974255"/>
      </lineChart>
      <catAx>
        <axId val="366973007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4255"/>
        <crosses val="autoZero"/>
        <auto val="1"/>
        <lblAlgn val="ctr"/>
        <lblOffset val="100"/>
        <noMultiLvlLbl val="0"/>
      </catAx>
      <valAx>
        <axId val="36697425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3007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pivotSource>
    <name>[output_template.xlsm]Gen01!ptgen01</name>
    <fmtId val="7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 Share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3"/>
        <spPr>
          <a:solidFill>
            <a:schemeClr val="accent3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4"/>
        <spPr>
          <a:solidFill>
            <a:schemeClr val="accent5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5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6"/>
        <spPr>
          <a:solidFill>
            <a:schemeClr val="accent3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7"/>
        <spPr>
          <a:solidFill>
            <a:schemeClr val="accent5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8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9"/>
        <spPr>
          <a:solidFill>
            <a:schemeClr val="accent3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20"/>
        <spPr>
          <a:solidFill>
            <a:schemeClr val="accent5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</pivotFmts>
    <plotArea>
      <layout/>
      <barChart>
        <barDir val="col"/>
        <grouping val="percentStacked"/>
        <varyColors val="0"/>
        <ser>
          <idx val="0"/>
          <order val="0"/>
          <tx>
            <strRef>
              <f>'Gen01'!$C$3:$C$5</f>
              <strCache>
                <ptCount val="1"/>
                <pt idx="0">
                  <v>Coal - Steam Turbine</v>
                </pt>
              </strCache>
            </strRef>
          </tx>
          <spPr>
            <a:solidFill>
              <a:schemeClr val="accent1"/>
            </a:solidFill>
            <a:ln>
              <a:noFill/>
              <a:prstDash val="solid"/>
            </a:ln>
          </spPr>
          <invertIfNegative val="0"/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'Gen01'!$C$6:$C$17</f>
              <numCache>
                <formatCode>General</formatCode>
                <ptCount val="11"/>
                <pt idx="0">
                  <v>40</v>
                </pt>
                <pt idx="1">
                  <v>44</v>
                </pt>
                <pt idx="2">
                  <v>48.40000000000001</v>
                </pt>
                <pt idx="3">
                  <v>53.24000000000001</v>
                </pt>
                <pt idx="4">
                  <v>58.56400000000001</v>
                </pt>
                <pt idx="5">
                  <v>64.42040000000001</v>
                </pt>
                <pt idx="6">
                  <v>70.86244000000002</v>
                </pt>
                <pt idx="7">
                  <v>77.94868400000003</v>
                </pt>
                <pt idx="8">
                  <v>85.74355240000004</v>
                </pt>
                <pt idx="9">
                  <v>94.31790764000006</v>
                </pt>
                <pt idx="10">
                  <v>103.7496984040001</v>
                </pt>
              </numCache>
            </numRef>
          </val>
        </ser>
        <ser>
          <idx val="1"/>
          <order val="1"/>
          <tx>
            <strRef>
              <f>'Gen01'!$E$3:$E$5</f>
              <strCache>
                <ptCount val="1"/>
                <pt idx="0">
                  <v>NG - Gas Turbine</v>
                </pt>
              </strCache>
            </strRef>
          </tx>
          <spPr>
            <a:solidFill>
              <a:schemeClr val="accent3"/>
            </a:solidFill>
            <a:ln>
              <a:noFill/>
              <a:prstDash val="solid"/>
            </a:ln>
          </spPr>
          <invertIfNegative val="0"/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'Gen01'!$E$6:$E$17</f>
              <numCache>
                <formatCode>General</formatCode>
                <ptCount val="11"/>
                <pt idx="0">
                  <v>323.49</v>
                </pt>
                <pt idx="1">
                  <v>355.8390000000001</v>
                </pt>
                <pt idx="2">
                  <v>391.4229000000001</v>
                </pt>
                <pt idx="3">
                  <v>430.5651900000001</v>
                </pt>
                <pt idx="4">
                  <v>473.6217090000002</v>
                </pt>
                <pt idx="5">
                  <v>520.9838799000003</v>
                </pt>
                <pt idx="6">
                  <v>573.0822678900004</v>
                </pt>
                <pt idx="7">
                  <v>630.3904946790004</v>
                </pt>
                <pt idx="8">
                  <v>693.4295441469005</v>
                </pt>
                <pt idx="9">
                  <v>762.7724985615906</v>
                </pt>
                <pt idx="10">
                  <v>839.0497484177497</v>
                </pt>
              </numCache>
            </numRef>
          </val>
        </ser>
        <ser>
          <idx val="2"/>
          <order val="2"/>
          <tx>
            <strRef>
              <f>'Gen01'!$G$3:$G$5</f>
              <strCache>
                <ptCount val="1"/>
                <pt idx="0">
                  <v>Wind - Wind Turbine</v>
                </pt>
              </strCache>
            </strRef>
          </tx>
          <spPr>
            <a:solidFill>
              <a:schemeClr val="accent5"/>
            </a:solidFill>
            <a:ln>
              <a:noFill/>
              <a:prstDash val="solid"/>
            </a:ln>
          </spPr>
          <invertIfNegative val="0"/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'Gen01'!$G$6:$G$17</f>
              <numCache>
                <formatCode>General</formatCode>
                <ptCount val="11"/>
                <pt idx="0">
                  <v>466.51</v>
                </pt>
                <pt idx="1">
                  <v>513.1610000000001</v>
                </pt>
                <pt idx="2">
                  <v>564.4771000000001</v>
                </pt>
                <pt idx="3">
                  <v>620.9248100000001</v>
                </pt>
                <pt idx="4">
                  <v>683.0172910000001</v>
                </pt>
                <pt idx="5">
                  <v>751.3190201000002</v>
                </pt>
                <pt idx="6">
                  <v>826.4509221100003</v>
                </pt>
                <pt idx="7">
                  <v>909.0960143210004</v>
                </pt>
                <pt idx="8">
                  <v>1000.005615753101</v>
                </pt>
                <pt idx="9">
                  <v>1100.006177328411</v>
                </pt>
                <pt idx="10">
                  <v>1210.006795061252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781790176"/>
        <axId val="781804320"/>
      </barChart>
      <catAx>
        <axId val="78179017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804320"/>
        <crosses val="autoZero"/>
        <auto val="1"/>
        <lblAlgn val="ctr"/>
        <lblOffset val="100"/>
        <noMultiLvlLbl val="0"/>
      </catAx>
      <valAx>
        <axId val="781804320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Generation Share [%]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790176"/>
        <crosses val="autoZero"/>
        <crossBetween val="between"/>
      </valAx>
    </plotArea>
    <plotVisOnly val="1"/>
    <dispBlanksAs val="zero"/>
  </chart>
</chartSpace>
</file>

<file path=xl/charts/chart7.xml><?xml version="1.0" encoding="utf-8"?>
<chartSpace xmlns:a="http://schemas.openxmlformats.org/drawingml/2006/main" xmlns="http://schemas.openxmlformats.org/drawingml/2006/chart">
  <pivotSource>
    <name>[output_template.xlsm]bus01!PivotTable3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Buses Voltage</a:t>
            </a:r>
          </a:p>
        </rich>
      </tx>
      <layout>
        <manualLayout>
          <xMode val="edge"/>
          <yMode val="edge"/>
          <wMode val="factor"/>
          <hMode val="factor"/>
          <x val="0.4464435137573154"/>
          <y val="0.0277777777777777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barChart>
        <barDir val="col"/>
        <grouping val="clustered"/>
        <varyColors val="0"/>
        <ser>
          <idx val="0"/>
          <order val="0"/>
          <tx>
            <strRef>
              <f>'bus01'!$B$4</f>
              <strCache>
                <ptCount val="1"/>
                <pt idx="0">
                  <v>Total</v>
                </pt>
              </strCache>
            </strRef>
          </tx>
          <spPr>
            <a:solidFill>
              <a:schemeClr val="accent1"/>
            </a:solidFill>
            <a:ln>
              <a:noFill/>
              <a:prstDash val="solid"/>
            </a:ln>
          </spPr>
          <invertIfNegative val="0"/>
          <cat>
            <strRef>
              <f>'bus01'!$A$5:$A$10</f>
              <strCache>
                <ptCount val="5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</strCache>
            </strRef>
          </cat>
          <val>
            <numRef>
              <f>'bus01'!$B$5:$B$10</f>
              <numCache>
                <formatCode>General</formatCode>
                <ptCount val="5"/>
                <pt idx="0">
                  <v>0.9999999999999999</v>
                </pt>
                <pt idx="1">
                  <v>0.9892612371179855</v>
                </pt>
                <pt idx="2">
                  <v>1</v>
                </pt>
                <pt idx="3">
                  <v>1</v>
                </pt>
                <pt idx="4">
                  <v>0.9999999999999999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51784079"/>
        <axId val="451808623"/>
      </barChart>
      <catAx>
        <axId val="451784079"/>
        <scaling>
          <orientation val="minMax"/>
        </scaling>
        <delete val="0"/>
        <axPos val="b"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Bus Index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8623"/>
        <crosses val="autoZero"/>
        <auto val="1"/>
        <lblAlgn val="ctr"/>
        <lblOffset val="100"/>
        <noMultiLvlLbl val="0"/>
      </catAx>
      <valAx>
        <axId val="451808623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Voltage [p.u.]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84079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pivotSource>
    <name>[output_template.xlsm]Demand01!PivotTable4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Demand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Demand01!$B$4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cat>
            <strRef>
              <f>Demand01!$A$5:$A$16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Demand01!$B$5:$B$16</f>
              <numCache>
                <formatCode>General</formatCode>
                <ptCount val="11"/>
                <pt idx="0">
                  <v>1000</v>
                </pt>
                <pt idx="1">
                  <v>1100</v>
                </pt>
                <pt idx="2">
                  <v>1210</v>
                </pt>
                <pt idx="3">
                  <v>1331</v>
                </pt>
                <pt idx="4">
                  <v>1464.100000000001</v>
                </pt>
                <pt idx="5">
                  <v>1610.510000000001</v>
                </pt>
                <pt idx="6">
                  <v>1771.561000000001</v>
                </pt>
                <pt idx="7">
                  <v>1948.717100000001</v>
                </pt>
                <pt idx="8">
                  <v>2143.588810000002</v>
                </pt>
                <pt idx="9">
                  <v>2357.947691000002</v>
                </pt>
                <pt idx="10">
                  <v>2593.742460100002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451801135"/>
        <axId val="451794063"/>
      </lineChart>
      <catAx>
        <axId val="451801135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94063"/>
        <crosses val="autoZero"/>
        <auto val="1"/>
        <lblAlgn val="ctr"/>
        <lblOffset val="100"/>
        <noMultiLvlLbl val="0"/>
      </catAx>
      <valAx>
        <axId val="451794063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[MW]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1135"/>
        <crosses val="autoZero"/>
        <crossBetween val="between"/>
      </valAx>
    </plotArea>
    <plotVisOnly val="1"/>
    <dispBlanksAs val="gap"/>
  </chart>
</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8</col>
      <colOff>188670</colOff>
      <row>42</row>
      <rowOff>128954</rowOff>
    </from>
    <to>
      <col>16</col>
      <colOff>48708</colOff>
      <row>54</row>
      <rowOff>169669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16</col>
      <colOff>87264</colOff>
      <row>42</row>
      <rowOff>128954</rowOff>
    </from>
    <to>
      <col>23</col>
      <colOff>441010</colOff>
      <row>54</row>
      <rowOff>172241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8</col>
      <colOff>124810</colOff>
      <row>6</row>
      <rowOff>52407</rowOff>
    </from>
    <to>
      <col>23</col>
      <colOff>438595</colOff>
      <row>23</row>
      <rowOff>43835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16</col>
      <colOff>98001</colOff>
      <row>55</row>
      <rowOff>77475</rowOff>
    </from>
    <to>
      <col>23</col>
      <colOff>440541</colOff>
      <row>68</row>
      <rowOff>68515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8</col>
      <colOff>194231</colOff>
      <row>55</row>
      <rowOff>69303</rowOff>
    </from>
    <to>
      <col>16</col>
      <colOff>44968</colOff>
      <row>68</row>
      <rowOff>60343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8</col>
      <colOff>126145</colOff>
      <row>23</row>
      <rowOff>57978</rowOff>
    </from>
    <to>
      <col>23</col>
      <colOff>433754</colOff>
      <row>41</row>
      <rowOff>129540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8</col>
      <colOff>197999</colOff>
      <row>69</row>
      <rowOff>6180</rowOff>
    </from>
    <to>
      <col>23</col>
      <colOff>431046</colOff>
      <row>84</row>
      <rowOff>68869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8</col>
      <colOff>211592</colOff>
      <row>85</row>
      <rowOff>44556</rowOff>
    </from>
    <to>
      <col>23</col>
      <colOff>465015</colOff>
      <row>100</row>
      <rowOff>98776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Martin Oviedo" refreshedDate="44894.74730775463" createdVersion="8" refreshedVersion="8" minRefreshableVersion="3" recordCount="33" r:id="rId1">
  <cacheSource type="worksheet">
    <worksheetSource name="Demand"/>
  </cacheSource>
  <cacheFields count="8">
    <cacheField name="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Load Index" uniqueList="1" numFmtId="0" sqlType="0" hierarchy="0" level="0" databaseField="1">
      <sharedItems count="0" containsInteger="1" containsNumber="1" containsSemiMixedTypes="0" containsString="0" minValue="0" maxValue="2"/>
    </cacheField>
    <cacheField name="Bus Index" uniqueList="1" numFmtId="0" sqlType="0" hierarchy="0" level="0" databaseField="1">
      <sharedItems count="0" containsInteger="1" containsNumber="1" containsSemiMixedTypes="0" containsString="0" minValue="1" maxValue="3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Voltage Level [kV]" uniqueList="1" numFmtId="0" sqlType="0" hierarchy="0" level="0" databaseField="1">
      <sharedItems count="2" containsInteger="1" containsNumber="1" containsSemiMixedTypes="0" containsString="0" minValue="110" maxValue="230">
        <n v="230"/>
        <n v="110"/>
      </sharedItems>
    </cacheField>
    <cacheField name="Active Power [MW]" uniqueList="1" numFmtId="0" sqlType="0" hierarchy="0" level="0" databaseField="1">
      <sharedItems count="0" containsNumber="1" containsSemiMixedTypes="0" containsString="0" minValue="300" maxValue="1037.496984040001"/>
    </cacheField>
    <cacheField name="Reactive Power [MVAr]" uniqueList="1" numFmtId="0" sqlType="0" hierarchy="0" level="0" databaseField="1">
      <sharedItems count="0" containsNumber="1" containsSemiMixedTypes="0" containsString="0" minValue="98.61" maxValue="340.9993212293472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Martin Oviedo" refreshedDate="44887.793053125" createdVersion="8" refreshedVersion="8" minRefreshableVersion="3" recordCount="33" r:id="rId1">
  <cacheSource type="worksheet">
    <worksheetSource name="Generation"/>
  </cacheSource>
  <cacheFields count="16">
    <cacheField name="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Bus Index" uniqueList="1" numFmtId="0" sqlType="0" hierarchy="0" level="0" databaseField="1">
      <sharedItems count="0" containsInteger="1" containsNumber="1" containsSemiMixedTypes="0" containsString="0" minValue="0" maxValue="4"/>
    </cacheField>
    <cacheField name="Generator Index" uniqueList="1" numFmtId="0" sqlType="0" hierarchy="0" level="0" databaseField="1">
      <sharedItems count="0" containsInteger="1" containsNumber="1" containsSemiMixedTypes="0" containsString="0" minValue="0" maxValue="2"/>
    </cacheField>
    <cacheField name="Fuel" uniqueList="1" numFmtId="0" sqlType="0" hierarchy="0" level="0" databaseField="1">
      <sharedItems count="3">
        <s v="Coal"/>
        <s v="NG"/>
        <s v="Wind"/>
      </sharedItems>
    </cacheField>
    <cacheField name="Technology" uniqueList="1" numFmtId="0" sqlType="0" hierarchy="0" level="0" databaseField="1">
      <sharedItems count="3">
        <s v="Steam Turbine"/>
        <s v="Gas Turbine"/>
        <s v="Wind Turbine"/>
      </sharedItems>
    </cacheField>
    <cacheField name="Voltage Level [kV]" uniqueList="1" numFmtId="0" sqlType="0" hierarchy="0" level="0" databaseField="1">
      <sharedItems count="2" containsInteger="1" containsNumber="1" containsSemiMixedTypes="0" containsString="0" minValue="110" maxValue="230">
        <n v="230"/>
        <n v="110"/>
      </sharedItems>
    </cacheField>
    <cacheField name="Name" uniqueList="1" numFmtId="0" sqlType="0" hierarchy="0" level="0" databaseField="1">
      <sharedItems count="0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Voltage [p.u]" uniqueList="1" numFmtId="0" sqlType="0" hierarchy="0" level="0" databaseField="1">
      <sharedItems count="0" containsInteger="1" containsNumber="1" containsSemiMixedTypes="0" containsString="0" minValue="1" maxValue="1"/>
    </cacheField>
    <cacheField name="Maximum Active Power [MW]" uniqueList="1" numFmtId="0" sqlType="0" hierarchy="0" level="0" databaseField="1">
      <sharedItems count="0" containsNumber="1" containsSemiMixedTypes="0" containsString="0" minValue="40" maxValue="966.3060000000004"/>
    </cacheField>
    <cacheField name="Maximum Reactive Power [MVAr]" uniqueList="1" numFmtId="0" sqlType="0" hierarchy="0" level="0" databaseField="1">
      <sharedItems count="0" containsNumber="1" containsSemiMixedTypes="0" containsString="0" minValue="30" maxValue="724.7295000000004"/>
    </cacheField>
    <cacheField name="Minimum Active Power [MW]" uniqueList="1" numFmtId="0" sqlType="0" hierarchy="0" level="0" databaseField="1">
      <sharedItems count="0" containsInteger="1" containsNumber="1" containsSemiMixedTypes="0" containsString="0" minValue="0" maxValue="0"/>
    </cacheField>
    <cacheField name="Minimum Reactive Power [MVAr]" uniqueList="1" numFmtId="0" sqlType="0" hierarchy="0" level="0" databaseField="1">
      <sharedItems count="0" containsNumber="1" containsSemiMixedTypes="0" containsString="0" minValue="-724.7295000000004" maxValue="-30"/>
    </cacheField>
    <cacheField name=" Active Power [MW]" uniqueList="1" numFmtId="0" sqlType="0" hierarchy="0" level="0" databaseField="1">
      <sharedItems count="0" containsNumber="1" containsSemiMixedTypes="0" containsString="0" minValue="40" maxValue="1210.006795061252"/>
    </cacheField>
    <cacheField name=" Reactive Power [MVAr]" uniqueList="1" numFmtId="0" sqlType="0" hierarchy="0" level="0" databaseField="1">
      <sharedItems count="0" containsNumber="1" containsSemiMixedTypes="0" containsString="0" minValue="-61.53698065348156" maxValue="313.4933734171457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Martin Oviedo" refreshedDate="44894.74029178241" createdVersion="8" refreshedVersion="8" minRefreshableVersion="3" recordCount="10" r:id="rId1">
  <cacheSource type="worksheet">
    <worksheetSource name="Buses"/>
  </cacheSource>
  <cacheFields count="10">
    <cacheField name="Step" uniqueList="1" numFmtId="0" sqlType="0" hierarchy="0" level="0" databaseField="1">
      <sharedItems count="2" containsInteger="1" containsNumber="1" containsSemiMixedTypes="0" containsString="0" minValue="0" maxValue="1">
        <n v="0"/>
        <n v="1"/>
      </sharedItems>
    </cacheField>
    <cacheField name="Bus Index" uniqueList="1" numFmtId="0" sqlType="0" hierarchy="0" level="0" databaseField="1">
      <sharedItems count="5" containsInteger="1" containsNumber="1" containsSemiMixedTypes="0" containsString="0" minValue="0" maxValue="4">
        <n v="0"/>
        <n v="1"/>
        <n v="2"/>
        <n v="3"/>
        <n v="4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Name" uniqueList="1" numFmtId="0" sqlType="0" hierarchy="0" level="0" databaseField="1">
      <sharedItems count="0" containsInteger="1" containsNumber="1" containsSemiMixedTypes="0" containsString="0" minValue="0" maxValue="4"/>
    </cacheField>
    <cacheField name="Voltage Level [kV]" uniqueList="1" numFmtId="0" sqlType="0" hierarchy="0" level="0" databaseField="1">
      <sharedItems count="1" containsInteger="1" containsNumber="1" containsSemiMixedTypes="0" containsString="0" minValue="230" maxValue="230">
        <n v="230"/>
      </sharedItems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Voltage [p.u]" uniqueList="1" numFmtId="0" sqlType="0" hierarchy="0" level="0" databaseField="1">
      <sharedItems count="0" containsNumber="1" containsSemiMixedTypes="0" containsString="0" minValue="0.9892612371179855" maxValue="1"/>
    </cacheField>
    <cacheField name="Voltage Phase [degree]" uniqueList="1" numFmtId="0" sqlType="0" hierarchy="0" level="0" databaseField="1">
      <sharedItems count="0" containsNumber="1" containsSemiMixedTypes="0" containsString="0" minValue="-0.7592692851644819" maxValue="4.112031000646839"/>
    </cacheField>
    <cacheField name="Active Power [MW]" uniqueList="1" numFmtId="0" sqlType="0" hierarchy="0" level="0" databaseField="1">
      <sharedItems count="0" containsNumber="1" containsSemiMixedTypes="0" containsString="0" minValue="-466.51" maxValue="394.972819956716"/>
    </cacheField>
    <cacheField name="Reactive Power [MVAr]" uniqueList="1" numFmtId="0" sqlType="0" hierarchy="0" level="0" databaseField="1">
      <sharedItems count="0" containsNumber="1" containsSemiMixedTypes="0" containsString="0" minValue="-96.04472019245181" maxValue="98.61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Martin Oviedo" refreshedDate="44895.50010567129" createdVersion="8" refreshedVersion="8" minRefreshableVersion="3" recordCount="66" r:id="rId1">
  <cacheSource type="worksheet">
    <worksheetSource name="Lines"/>
  </cacheSource>
  <cacheFields count="20">
    <cacheField name="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Line Index" uniqueList="1" numFmtId="0" sqlType="0" hierarchy="0" level="0" databaseField="1">
      <sharedItems count="0" containsInteger="1" containsNumber="1" containsSemiMixedTypes="0" containsString="0" minValue="0" maxValue="5"/>
    </cacheField>
    <cacheField name="Voltage Level [kV]" uniqueList="1" numFmtId="0" sqlType="0" hierarchy="0" level="0" databaseField="1">
      <sharedItems count="2" containsInteger="1" containsNumber="1" containsSemiMixedTypes="0" containsString="0" minValue="110" maxValue="230">
        <n v="110"/>
        <n v="230"/>
      </sharedItems>
    </cacheField>
    <cacheField name="Name" uniqueList="1" numFmtId="0" sqlType="0" hierarchy="0" level="0" databaseField="1">
      <sharedItems count="0"/>
    </cacheField>
    <cacheField name="From bus" uniqueList="1" numFmtId="0" sqlType="0" hierarchy="0" level="0" databaseField="1">
      <sharedItems count="0" containsInteger="1" containsNumber="1" containsSemiMixedTypes="0" containsString="0" minValue="0" maxValue="3"/>
    </cacheField>
    <cacheField name="To Bus" uniqueList="1" numFmtId="0" sqlType="0" hierarchy="0" level="0" databaseField="1">
      <sharedItems count="0" containsInteger="1" containsNumber="1" containsSemiMixedTypes="0" containsString="0" minValue="1" maxValue="4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Length [km]" uniqueList="1" numFmtId="0" sqlType="0" hierarchy="0" level="0" databaseField="1">
      <sharedItems count="0" containsInteger="1" containsNumber="1" containsSemiMixedTypes="0" containsString="0" minValue="1" maxValue="1"/>
    </cacheField>
    <cacheField name="Maximum Current [kA]" uniqueList="1" numFmtId="0" sqlType="0" hierarchy="0" level="0" databaseField="1">
      <sharedItems count="0" containsNumber="1" containsSemiMixedTypes="0" containsString="0" minValue="0.6024524548065699" maxValue="99999"/>
    </cacheField>
    <cacheField name="Maximum Loading [%]" uniqueList="1" numFmtId="0" sqlType="0" hierarchy="0" level="0" databaseField="1">
      <sharedItems count="0" containsInteger="1" containsNumber="1" containsSemiMixedTypes="0" containsString="0" minValue="100" maxValue="100"/>
    </cacheField>
    <cacheField name="Number of Lines in Parallel" uniqueList="1" numFmtId="0" sqlType="0" hierarchy="0" level="0" databaseField="1">
      <sharedItems count="0" containsInteger="1" containsNumber="1" containsSemiMixedTypes="0" containsString="0" minValue="1" maxValue="1"/>
    </cacheField>
    <cacheField name="Std. Type" uniqueList="1" numFmtId="0" sqlType="0" hierarchy="0" level="0" databaseField="1">
      <sharedItems count="0"/>
    </cacheField>
    <cacheField name="From Bus Act. Power [MW]" uniqueList="1" numFmtId="0" sqlType="0" hierarchy="0" level="0" databaseField="1">
      <sharedItems count="0" containsNumber="1" containsSemiMixedTypes="0" containsString="0" minValue="-4010.26924206584" maxValue="249.7733725409011"/>
    </cacheField>
    <cacheField name="From Bus Raact. Power [MVAr]" uniqueList="1" numFmtId="0" sqlType="0" hierarchy="0" level="0" databaseField="1">
      <sharedItems count="0" containsNumber="1" containsSemiMixedTypes="0" containsString="0" minValue="-93.97263244914096" maxValue="563.135932269363"/>
    </cacheField>
    <cacheField name="To Bus Act. Power [MW]" uniqueList="1" numFmtId="0" sqlType="0" hierarchy="0" level="0" databaseField="1">
      <sharedItems count="0" containsNumber="1" containsSemiMixedTypes="0" containsString="0" minValue="-248.006760277201" maxValue="4042.43676841491"/>
    </cacheField>
    <cacheField name="To Bus Raact. Power [MVAr]" uniqueList="1" numFmtId="0" sqlType="0" hierarchy="0" level="0" databaseField="1">
      <sharedItems count="0" containsNumber="1" containsSemiMixedTypes="0" containsString="0" minValue="-242.134668778687" maxValue="93.39458845673786"/>
    </cacheField>
    <cacheField name="Losses [MW]" uniqueList="1" numFmtId="0" sqlType="0" hierarchy="0" level="0" databaseField="1">
      <sharedItems count="0" containsNumber="1" containsSemiMixedTypes="0" containsString="0" minValue="0.02460713215354815" maxValue="4.582137238892323"/>
    </cacheField>
    <cacheField name="Losses [MVAr]" uniqueList="1" numFmtId="0" sqlType="0" hierarchy="0" level="0" databaseField="1">
      <sharedItems count="0" containsNumber="1" containsSemiMixedTypes="0" containsString="0" minValue="-0.5780439924030958" maxValue="321.001263490677"/>
    </cacheField>
    <cacheField name="Loading Percent [%]" uniqueList="1" numFmtId="0" sqlType="0" hierarchy="0" level="0" databaseField="1">
      <sharedItems count="0" containsNumber="1" containsSemiMixedTypes="0" containsString="0" minValue="7.234050190158276e-05" maxValue="259.8233885207347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Martin Oviedo" refreshedDate="44894.71650787037" createdVersion="8" refreshedVersion="8" minRefreshableVersion="3" recordCount="53" r:id="rId1">
  <cacheSource type="worksheet">
    <worksheetSource name="Trafos"/>
  </cacheSource>
  <cacheFields count="21">
    <cacheField name="Time 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>
        <s v="---"/>
      </sharedItems>
    </cacheField>
    <cacheField name="Trafo Index" uniqueList="1" numFmtId="0" sqlType="0" hierarchy="0" level="0" databaseField="1">
      <sharedItems count="0" containsInteger="1" containsNumber="1" containsSemiMixedTypes="0" containsString="0" minValue="0" maxValue="39"/>
    </cacheField>
    <cacheField name="Name" uniqueList="1" numFmtId="0" sqlType="0" hierarchy="0" level="0" databaseField="1">
      <sharedItems count="0"/>
    </cacheField>
    <cacheField name="Std Type" uniqueList="1" numFmtId="0" sqlType="0" hierarchy="0" level="0" databaseField="1">
      <sharedItems count="0"/>
    </cacheField>
    <cacheField name="HV Bus" uniqueList="1" numFmtId="0" sqlType="0" hierarchy="0" level="0" databaseField="1">
      <sharedItems count="0" containsInteger="1" containsNumber="1" containsSemiMixedTypes="0" containsString="0" minValue="0" maxValue="0"/>
    </cacheField>
    <cacheField name="LV Bus" uniqueList="1" numFmtId="0" sqlType="0" hierarchy="0" level="0" databaseField="1">
      <sharedItems count="0" containsInteger="1" containsNumber="1" containsSemiMixedTypes="0" containsString="0" minValue="1" maxValue="1"/>
    </cacheField>
    <cacheField name="High Voltage Side [kV]" uniqueList="1" numFmtId="0" sqlType="0" hierarchy="0" level="0" databaseField="1">
      <sharedItems count="1" containsInteger="1" containsNumber="1" containsSemiMixedTypes="0" containsString="0" minValue="10" maxValue="10">
        <n v="10"/>
      </sharedItems>
    </cacheField>
    <cacheField name="Low Voltage Side [kV] " uniqueList="1" numFmtId="0" sqlType="0" hierarchy="0" level="0" databaseField="1">
      <sharedItems count="1" containsNumber="1" containsSemiMixedTypes="0" containsString="0" minValue="0.4" maxValue="0.4">
        <n v="0.4"/>
      </sharedItems>
    </cacheField>
    <cacheField name="FE Losses [kW]" uniqueList="1" numFmtId="0" sqlType="0" hierarchy="0" level="0" databaseField="1">
      <sharedItems count="0" containsNumber="1" containsSemiMixedTypes="0" containsString="0" minValue="0.6" maxValue="0.6"/>
    </cacheField>
    <cacheField name="Shift Degree" uniqueList="1" numFmtId="0" sqlType="0" hierarchy="0" level="0" databaseField="1">
      <sharedItems count="0" containsInteger="1" containsNumber="1" containsSemiMixedTypes="0" containsString="0" minValue="150" maxValue="150"/>
    </cacheField>
    <cacheField name="Tap Position" uniqueList="1" numFmtId="0" sqlType="0" hierarchy="0" level="0" databaseField="1">
      <sharedItems count="0" containsInteger="1" containsNumber="1" containsSemiMixedTypes="0" containsString="0" minValue="0" maxValue="0"/>
    </cacheField>
    <cacheField name="Number of Trafos in Parallel" uniqueList="1" numFmtId="0" sqlType="0" hierarchy="0" level="0" databaseField="1">
      <sharedItems count="0" containsInteger="1" containsNumber="1" containsSemiMixedTypes="0" containsString="0" minValue="1" maxValue="1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HV Act. Power [MW]" uniqueList="1" numFmtId="0" sqlType="0" hierarchy="0" level="0" databaseField="1">
      <sharedItems count="0" containsNumber="1" containsSemiMixedTypes="0" containsString="0" minValue="0.1236666454897191" maxValue="0.1236666454897191"/>
    </cacheField>
    <cacheField name="HV React. Power [MVAr]" uniqueList="1" numFmtId="0" sqlType="0" hierarchy="0" level="0" databaseField="1">
      <sharedItems count="0" containsNumber="1" containsSemiMixedTypes="0" containsString="0" minValue="0.04340919264951015" maxValue="0.04340919264951015"/>
    </cacheField>
    <cacheField name="LV Act. Power [MW]" uniqueList="1" numFmtId="0" sqlType="0" hierarchy="0" level="0" databaseField="1">
      <sharedItems count="0" containsNumber="1" containsSemiMixedTypes="0" containsString="0" minValue="-0.1222531233879495" maxValue="-0.1222531233879495"/>
    </cacheField>
    <cacheField name="LV React. Power [MVAr]" uniqueList="1" numFmtId="0" sqlType="0" hierarchy="0" level="0" databaseField="1">
      <sharedItems count="0" containsNumber="1" containsSemiMixedTypes="0" containsString="0" minValue="-0.04079860106284355" maxValue="-0.04079860106284355"/>
    </cacheField>
    <cacheField name="Losses [MW]" uniqueList="1" numFmtId="0" sqlType="0" hierarchy="0" level="0" databaseField="1">
      <sharedItems count="0" containsNumber="1" containsSemiMixedTypes="0" containsString="0" minValue="0.001413522101769524" maxValue="0.006077886306523442"/>
    </cacheField>
    <cacheField name="Losses [MVAr]" uniqueList="1" numFmtId="0" sqlType="0" hierarchy="0" level="0" databaseField="1">
      <sharedItems count="0" containsNumber="1" containsSemiMixedTypes="0" containsString="0" minValue="0.0026105915866666" maxValue="0.01122506597998235"/>
    </cacheField>
    <cacheField name="Loading Percent [%]" uniqueList="1" numFmtId="0" sqlType="0" hierarchy="0" level="0" databaseField="1">
      <sharedItems count="0" containsNumber="1" containsSemiMixedTypes="0" containsString="0" minValue="52.42563832807324" maxValue="91.42563832807321"/>
    </cacheField>
  </cacheFields>
</pivotCacheDefinition>
</file>

<file path=xl/pivotCache/pivotCacheRecords1.xml><?xml version="1.0" encoding="utf-8"?>
<pivotCacheRecords xmlns="http://schemas.openxmlformats.org/spreadsheetml/2006/main" count="33">
  <r>
    <x v="0"/>
    <x v="0"/>
    <n v="0"/>
    <n v="1"/>
    <n v="1"/>
    <x v="0"/>
    <n v="300"/>
    <n v="98.61"/>
  </r>
  <r>
    <x v="0"/>
    <x v="0"/>
    <n v="1"/>
    <n v="2"/>
    <n v="1"/>
    <x v="0"/>
    <n v="300"/>
    <n v="98.61"/>
  </r>
  <r>
    <x v="0"/>
    <x v="0"/>
    <n v="2"/>
    <n v="3"/>
    <n v="1"/>
    <x v="1"/>
    <n v="400"/>
    <n v="131.47"/>
  </r>
  <r>
    <x v="1"/>
    <x v="0"/>
    <n v="0"/>
    <n v="1"/>
    <n v="1"/>
    <x v="0"/>
    <n v="330"/>
    <n v="108.471"/>
  </r>
  <r>
    <x v="1"/>
    <x v="0"/>
    <n v="1"/>
    <n v="2"/>
    <n v="1"/>
    <x v="0"/>
    <n v="330"/>
    <n v="108.471"/>
  </r>
  <r>
    <x v="1"/>
    <x v="0"/>
    <n v="2"/>
    <n v="3"/>
    <n v="1"/>
    <x v="1"/>
    <n v="440.0000000000001"/>
    <n v="144.617"/>
  </r>
  <r>
    <x v="2"/>
    <x v="0"/>
    <n v="0"/>
    <n v="1"/>
    <n v="1"/>
    <x v="0"/>
    <n v="363.0000000000001"/>
    <n v="119.3181"/>
  </r>
  <r>
    <x v="2"/>
    <x v="0"/>
    <n v="1"/>
    <n v="2"/>
    <n v="1"/>
    <x v="0"/>
    <n v="363.0000000000001"/>
    <n v="119.3181"/>
  </r>
  <r>
    <x v="2"/>
    <x v="0"/>
    <n v="2"/>
    <n v="3"/>
    <n v="1"/>
    <x v="1"/>
    <n v="484.0000000000001"/>
    <n v="159.0787"/>
  </r>
  <r>
    <x v="3"/>
    <x v="0"/>
    <n v="0"/>
    <n v="1"/>
    <n v="1"/>
    <x v="0"/>
    <n v="399.3000000000001"/>
    <n v="131.24991"/>
  </r>
  <r>
    <x v="3"/>
    <x v="0"/>
    <n v="1"/>
    <n v="2"/>
    <n v="1"/>
    <x v="0"/>
    <n v="399.3000000000001"/>
    <n v="131.24991"/>
  </r>
  <r>
    <x v="3"/>
    <x v="0"/>
    <n v="2"/>
    <n v="3"/>
    <n v="1"/>
    <x v="1"/>
    <n v="532.4000000000002"/>
    <n v="174.98657"/>
  </r>
  <r>
    <x v="4"/>
    <x v="0"/>
    <n v="0"/>
    <n v="1"/>
    <n v="1"/>
    <x v="0"/>
    <n v="439.2300000000001"/>
    <n v="144.3749010000001"/>
  </r>
  <r>
    <x v="4"/>
    <x v="0"/>
    <n v="1"/>
    <n v="2"/>
    <n v="1"/>
    <x v="0"/>
    <n v="439.2300000000001"/>
    <n v="144.3749010000001"/>
  </r>
  <r>
    <x v="4"/>
    <x v="0"/>
    <n v="2"/>
    <n v="3"/>
    <n v="1"/>
    <x v="1"/>
    <n v="585.6400000000003"/>
    <n v="192.485227"/>
  </r>
  <r>
    <x v="5"/>
    <x v="0"/>
    <n v="0"/>
    <n v="1"/>
    <n v="1"/>
    <x v="0"/>
    <n v="483.1530000000002"/>
    <n v="158.8123911000001"/>
  </r>
  <r>
    <x v="5"/>
    <x v="0"/>
    <n v="1"/>
    <n v="2"/>
    <n v="1"/>
    <x v="0"/>
    <n v="483.1530000000002"/>
    <n v="158.8123911000001"/>
  </r>
  <r>
    <x v="5"/>
    <x v="0"/>
    <n v="2"/>
    <n v="3"/>
    <n v="1"/>
    <x v="1"/>
    <n v="644.2040000000004"/>
    <n v="211.7337497000001"/>
  </r>
  <r>
    <x v="6"/>
    <x v="0"/>
    <n v="0"/>
    <n v="1"/>
    <n v="1"/>
    <x v="0"/>
    <n v="531.4683000000002"/>
    <n v="174.6936302100001"/>
  </r>
  <r>
    <x v="6"/>
    <x v="0"/>
    <n v="1"/>
    <n v="2"/>
    <n v="1"/>
    <x v="0"/>
    <n v="531.4683000000002"/>
    <n v="174.6936302100001"/>
  </r>
  <r>
    <x v="6"/>
    <x v="0"/>
    <n v="2"/>
    <n v="3"/>
    <n v="1"/>
    <x v="1"/>
    <n v="708.6244000000005"/>
    <n v="232.9071246700001"/>
  </r>
  <r>
    <x v="7"/>
    <x v="0"/>
    <n v="0"/>
    <n v="1"/>
    <n v="1"/>
    <x v="0"/>
    <n v="584.6151300000002"/>
    <n v="192.1629932310001"/>
  </r>
  <r>
    <x v="7"/>
    <x v="0"/>
    <n v="1"/>
    <n v="2"/>
    <n v="1"/>
    <x v="0"/>
    <n v="584.6151300000002"/>
    <n v="192.1629932310001"/>
  </r>
  <r>
    <x v="7"/>
    <x v="0"/>
    <n v="2"/>
    <n v="3"/>
    <n v="1"/>
    <x v="1"/>
    <n v="779.4868400000006"/>
    <n v="256.1978371370001"/>
  </r>
  <r>
    <x v="8"/>
    <x v="0"/>
    <n v="0"/>
    <n v="1"/>
    <n v="1"/>
    <x v="0"/>
    <n v="643.0766430000003"/>
    <n v="211.3792925541001"/>
  </r>
  <r>
    <x v="8"/>
    <x v="0"/>
    <n v="1"/>
    <n v="2"/>
    <n v="1"/>
    <x v="0"/>
    <n v="643.0766430000003"/>
    <n v="211.3792925541001"/>
  </r>
  <r>
    <x v="8"/>
    <x v="0"/>
    <n v="2"/>
    <n v="3"/>
    <n v="1"/>
    <x v="1"/>
    <n v="857.4355240000008"/>
    <n v="281.8176208507002"/>
  </r>
  <r>
    <x v="9"/>
    <x v="0"/>
    <n v="0"/>
    <n v="1"/>
    <n v="1"/>
    <x v="0"/>
    <n v="707.3843073000004"/>
    <n v="232.5172218095102"/>
  </r>
  <r>
    <x v="9"/>
    <x v="0"/>
    <n v="1"/>
    <n v="2"/>
    <n v="1"/>
    <x v="0"/>
    <n v="707.3843073000004"/>
    <n v="232.5172218095102"/>
  </r>
  <r>
    <x v="9"/>
    <x v="0"/>
    <n v="2"/>
    <n v="3"/>
    <n v="1"/>
    <x v="1"/>
    <n v="943.1790764000009"/>
    <n v="309.9993829357702"/>
  </r>
  <r>
    <x v="10"/>
    <x v="0"/>
    <n v="0"/>
    <n v="1"/>
    <n v="1"/>
    <x v="0"/>
    <n v="778.1227380300005"/>
    <n v="255.7689439904612"/>
  </r>
  <r>
    <x v="10"/>
    <x v="0"/>
    <n v="1"/>
    <n v="2"/>
    <n v="1"/>
    <x v="0"/>
    <n v="778.1227380300005"/>
    <n v="255.7689439904612"/>
  </r>
  <r>
    <x v="10"/>
    <x v="0"/>
    <n v="2"/>
    <n v="3"/>
    <n v="1"/>
    <x v="1"/>
    <n v="1037.496984040001"/>
    <n v="340.9993212293472"/>
  </r>
</pivotCacheRecords>
</file>

<file path=xl/pivotCache/pivotCacheRecords2.xml><?xml version="1.0" encoding="utf-8"?>
<pivotCacheRecords xmlns="http://schemas.openxmlformats.org/spreadsheetml/2006/main" count="33">
  <r>
    <x v="0"/>
    <x v="0"/>
    <n v="0"/>
    <n v="0"/>
    <x v="0"/>
    <x v="0"/>
    <x v="0"/>
    <s v="---"/>
    <n v="1"/>
    <n v="1"/>
    <n v="40"/>
    <n v="30"/>
    <n v="0"/>
    <n v="-30"/>
    <n v="40"/>
    <n v="30.72515988161237"/>
  </r>
  <r>
    <x v="0"/>
    <x v="0"/>
    <n v="2"/>
    <n v="1"/>
    <x v="1"/>
    <x v="1"/>
    <x v="0"/>
    <s v="---"/>
    <n v="1"/>
    <n v="1"/>
    <n v="520"/>
    <n v="390"/>
    <n v="0"/>
    <n v="-390"/>
    <n v="323.49"/>
    <n v="194.6547201924518"/>
  </r>
  <r>
    <x v="0"/>
    <x v="0"/>
    <n v="4"/>
    <n v="2"/>
    <x v="2"/>
    <x v="2"/>
    <x v="1"/>
    <s v="---"/>
    <n v="1"/>
    <n v="1"/>
    <n v="600"/>
    <n v="450"/>
    <n v="0"/>
    <n v="-450"/>
    <n v="466.51"/>
    <n v="-38.2096234444254"/>
  </r>
  <r>
    <x v="1"/>
    <x v="0"/>
    <n v="0"/>
    <n v="0"/>
    <x v="0"/>
    <x v="0"/>
    <x v="0"/>
    <s v="---"/>
    <n v="1"/>
    <n v="1"/>
    <n v="40"/>
    <n v="30"/>
    <n v="0"/>
    <n v="-30"/>
    <n v="44"/>
    <n v="30.72515988161237"/>
  </r>
  <r>
    <x v="1"/>
    <x v="0"/>
    <n v="2"/>
    <n v="1"/>
    <x v="1"/>
    <x v="1"/>
    <x v="0"/>
    <s v="---"/>
    <n v="1"/>
    <n v="1"/>
    <n v="520"/>
    <n v="390"/>
    <n v="0"/>
    <n v="-390"/>
    <n v="355.8390000000001"/>
    <n v="194.6547201924518"/>
  </r>
  <r>
    <x v="1"/>
    <x v="0"/>
    <n v="4"/>
    <n v="2"/>
    <x v="2"/>
    <x v="2"/>
    <x v="1"/>
    <s v="---"/>
    <n v="1"/>
    <n v="1"/>
    <n v="600"/>
    <n v="450"/>
    <n v="0"/>
    <n v="-450"/>
    <n v="513.1610000000001"/>
    <n v="-38.2096234444254"/>
  </r>
  <r>
    <x v="2"/>
    <x v="0"/>
    <n v="0"/>
    <n v="0"/>
    <x v="0"/>
    <x v="0"/>
    <x v="0"/>
    <s v="---"/>
    <n v="1"/>
    <n v="1"/>
    <n v="44"/>
    <n v="33"/>
    <n v="0"/>
    <n v="-33"/>
    <n v="48.40000000000001"/>
    <n v="33.79767586977361"/>
  </r>
  <r>
    <x v="2"/>
    <x v="0"/>
    <n v="2"/>
    <n v="1"/>
    <x v="1"/>
    <x v="1"/>
    <x v="0"/>
    <s v="---"/>
    <n v="1"/>
    <n v="1"/>
    <n v="572"/>
    <n v="429.0000000000001"/>
    <n v="0"/>
    <n v="-429.0000000000001"/>
    <n v="391.4229000000001"/>
    <n v="214.120192211697"/>
  </r>
  <r>
    <x v="2"/>
    <x v="0"/>
    <n v="4"/>
    <n v="2"/>
    <x v="2"/>
    <x v="2"/>
    <x v="1"/>
    <s v="---"/>
    <n v="1"/>
    <n v="1"/>
    <n v="660"/>
    <n v="495.0000000000001"/>
    <n v="0"/>
    <n v="-495.0000000000001"/>
    <n v="564.4771000000001"/>
    <n v="-42.03058578886794"/>
  </r>
  <r>
    <x v="3"/>
    <x v="0"/>
    <n v="0"/>
    <n v="0"/>
    <x v="0"/>
    <x v="0"/>
    <x v="0"/>
    <s v="---"/>
    <n v="1"/>
    <n v="1"/>
    <n v="44"/>
    <n v="33"/>
    <n v="0"/>
    <n v="-33"/>
    <n v="53.24000000000001"/>
    <n v="33.79767586977361"/>
  </r>
  <r>
    <x v="3"/>
    <x v="0"/>
    <n v="2"/>
    <n v="1"/>
    <x v="1"/>
    <x v="1"/>
    <x v="0"/>
    <s v="---"/>
    <n v="1"/>
    <n v="1"/>
    <n v="572"/>
    <n v="429.0000000000001"/>
    <n v="0"/>
    <n v="-429.0000000000001"/>
    <n v="430.5651900000001"/>
    <n v="214.120192211697"/>
  </r>
  <r>
    <x v="3"/>
    <x v="0"/>
    <n v="4"/>
    <n v="2"/>
    <x v="2"/>
    <x v="2"/>
    <x v="1"/>
    <s v="---"/>
    <n v="1"/>
    <n v="1"/>
    <n v="660"/>
    <n v="495.0000000000001"/>
    <n v="0"/>
    <n v="-495.0000000000001"/>
    <n v="620.9248100000001"/>
    <n v="-42.03058578886794"/>
  </r>
  <r>
    <x v="4"/>
    <x v="0"/>
    <n v="0"/>
    <n v="0"/>
    <x v="0"/>
    <x v="0"/>
    <x v="0"/>
    <s v="---"/>
    <n v="1"/>
    <n v="1"/>
    <n v="48.40000000000001"/>
    <n v="36.3"/>
    <n v="0"/>
    <n v="-36.3"/>
    <n v="58.56400000000001"/>
    <n v="37.17744345675098"/>
  </r>
  <r>
    <x v="4"/>
    <x v="0"/>
    <n v="2"/>
    <n v="1"/>
    <x v="1"/>
    <x v="1"/>
    <x v="0"/>
    <s v="---"/>
    <n v="1"/>
    <n v="1"/>
    <n v="629.2"/>
    <n v="471.9000000000001"/>
    <n v="0"/>
    <n v="-471.9000000000001"/>
    <n v="473.6217090000002"/>
    <n v="235.5322114328667"/>
  </r>
  <r>
    <x v="4"/>
    <x v="0"/>
    <n v="4"/>
    <n v="2"/>
    <x v="2"/>
    <x v="2"/>
    <x v="1"/>
    <s v="---"/>
    <n v="1"/>
    <n v="1"/>
    <n v="726.0000000000001"/>
    <n v="544.5000000000001"/>
    <n v="0"/>
    <n v="-544.5000000000001"/>
    <n v="683.0172910000001"/>
    <n v="-46.23364436775474"/>
  </r>
  <r>
    <x v="5"/>
    <x v="0"/>
    <n v="0"/>
    <n v="0"/>
    <x v="0"/>
    <x v="0"/>
    <x v="0"/>
    <s v="---"/>
    <n v="1"/>
    <n v="1"/>
    <n v="48.40000000000001"/>
    <n v="36.3"/>
    <n v="0"/>
    <n v="-36.3"/>
    <n v="64.42040000000001"/>
    <n v="37.17744345675098"/>
  </r>
  <r>
    <x v="5"/>
    <x v="0"/>
    <n v="2"/>
    <n v="1"/>
    <x v="1"/>
    <x v="1"/>
    <x v="0"/>
    <s v="---"/>
    <n v="1"/>
    <n v="1"/>
    <n v="629.2"/>
    <n v="471.9000000000001"/>
    <n v="0"/>
    <n v="-471.9000000000001"/>
    <n v="520.9838799000003"/>
    <n v="235.5322114328667"/>
  </r>
  <r>
    <x v="5"/>
    <x v="0"/>
    <n v="4"/>
    <n v="2"/>
    <x v="2"/>
    <x v="2"/>
    <x v="1"/>
    <s v="---"/>
    <n v="1"/>
    <n v="1"/>
    <n v="726.0000000000001"/>
    <n v="544.5000000000001"/>
    <n v="0"/>
    <n v="-544.5000000000001"/>
    <n v="751.3190201000002"/>
    <n v="-46.23364436775474"/>
  </r>
  <r>
    <x v="6"/>
    <x v="0"/>
    <n v="0"/>
    <n v="0"/>
    <x v="0"/>
    <x v="0"/>
    <x v="0"/>
    <s v="---"/>
    <n v="1"/>
    <n v="1"/>
    <n v="53.24000000000001"/>
    <n v="39.93000000000001"/>
    <n v="0"/>
    <n v="-39.93000000000001"/>
    <n v="70.86244000000002"/>
    <n v="40.89518780242608"/>
  </r>
  <r>
    <x v="6"/>
    <x v="0"/>
    <n v="2"/>
    <n v="1"/>
    <x v="1"/>
    <x v="1"/>
    <x v="0"/>
    <s v="---"/>
    <n v="1"/>
    <n v="1"/>
    <n v="692.1200000000001"/>
    <n v="519.0900000000001"/>
    <n v="0"/>
    <n v="-519.0900000000001"/>
    <n v="573.0822678900004"/>
    <n v="259.0854325761534"/>
  </r>
  <r>
    <x v="6"/>
    <x v="0"/>
    <n v="4"/>
    <n v="2"/>
    <x v="2"/>
    <x v="2"/>
    <x v="1"/>
    <s v="---"/>
    <n v="1"/>
    <n v="1"/>
    <n v="798.6000000000001"/>
    <n v="598.9500000000002"/>
    <n v="0"/>
    <n v="-598.9500000000002"/>
    <n v="826.4509221100003"/>
    <n v="-50.85700880453021"/>
  </r>
  <r>
    <x v="7"/>
    <x v="0"/>
    <n v="0"/>
    <n v="0"/>
    <x v="0"/>
    <x v="0"/>
    <x v="0"/>
    <s v="---"/>
    <n v="1"/>
    <n v="1"/>
    <n v="53.24000000000001"/>
    <n v="39.93000000000001"/>
    <n v="0"/>
    <n v="-39.93000000000001"/>
    <n v="77.94868400000003"/>
    <n v="40.89518780242608"/>
  </r>
  <r>
    <x v="7"/>
    <x v="0"/>
    <n v="2"/>
    <n v="1"/>
    <x v="1"/>
    <x v="1"/>
    <x v="0"/>
    <s v="---"/>
    <n v="1"/>
    <n v="1"/>
    <n v="692.1200000000001"/>
    <n v="519.0900000000001"/>
    <n v="0"/>
    <n v="-519.0900000000001"/>
    <n v="630.3904946790004"/>
    <n v="259.0854325761534"/>
  </r>
  <r>
    <x v="7"/>
    <x v="0"/>
    <n v="4"/>
    <n v="2"/>
    <x v="2"/>
    <x v="2"/>
    <x v="1"/>
    <s v="---"/>
    <n v="1"/>
    <n v="1"/>
    <n v="798.6000000000001"/>
    <n v="598.9500000000002"/>
    <n v="0"/>
    <n v="-598.9500000000002"/>
    <n v="909.0960143210004"/>
    <n v="-50.85700880453021"/>
  </r>
  <r>
    <x v="8"/>
    <x v="0"/>
    <n v="0"/>
    <n v="0"/>
    <x v="0"/>
    <x v="0"/>
    <x v="0"/>
    <s v="---"/>
    <n v="1"/>
    <n v="1"/>
    <n v="58.56400000000001"/>
    <n v="43.92300000000001"/>
    <n v="0"/>
    <n v="-43.92300000000001"/>
    <n v="85.74355240000004"/>
    <n v="44.98470658266869"/>
  </r>
  <r>
    <x v="8"/>
    <x v="0"/>
    <n v="2"/>
    <n v="1"/>
    <x v="1"/>
    <x v="1"/>
    <x v="0"/>
    <s v="---"/>
    <n v="1"/>
    <n v="1"/>
    <n v="761.3320000000002"/>
    <n v="570.9990000000003"/>
    <n v="0"/>
    <n v="-570.9990000000003"/>
    <n v="693.4295441469005"/>
    <n v="284.9939758337688"/>
  </r>
  <r>
    <x v="8"/>
    <x v="0"/>
    <n v="4"/>
    <n v="2"/>
    <x v="2"/>
    <x v="2"/>
    <x v="1"/>
    <s v="---"/>
    <n v="1"/>
    <n v="1"/>
    <n v="878.4600000000003"/>
    <n v="658.8450000000003"/>
    <n v="0"/>
    <n v="-658.8450000000003"/>
    <n v="1000.005615753101"/>
    <n v="-55.94270968498324"/>
  </r>
  <r>
    <x v="9"/>
    <x v="0"/>
    <n v="0"/>
    <n v="0"/>
    <x v="0"/>
    <x v="0"/>
    <x v="0"/>
    <s v="---"/>
    <n v="1"/>
    <n v="1"/>
    <n v="58.56400000000001"/>
    <n v="43.92300000000001"/>
    <n v="0"/>
    <n v="-43.92300000000001"/>
    <n v="94.31790764000006"/>
    <n v="44.98470658266869"/>
  </r>
  <r>
    <x v="9"/>
    <x v="0"/>
    <n v="2"/>
    <n v="1"/>
    <x v="1"/>
    <x v="1"/>
    <x v="0"/>
    <s v="---"/>
    <n v="1"/>
    <n v="1"/>
    <n v="761.3320000000002"/>
    <n v="570.9990000000003"/>
    <n v="0"/>
    <n v="-570.9990000000003"/>
    <n v="762.7724985615906"/>
    <n v="284.9939758337688"/>
  </r>
  <r>
    <x v="9"/>
    <x v="0"/>
    <n v="4"/>
    <n v="2"/>
    <x v="2"/>
    <x v="2"/>
    <x v="1"/>
    <s v="---"/>
    <n v="1"/>
    <n v="1"/>
    <n v="878.4600000000003"/>
    <n v="658.8450000000003"/>
    <n v="0"/>
    <n v="-658.8450000000003"/>
    <n v="1100.006177328411"/>
    <n v="-55.94270968498324"/>
  </r>
  <r>
    <x v="10"/>
    <x v="0"/>
    <n v="0"/>
    <n v="0"/>
    <x v="0"/>
    <x v="0"/>
    <x v="0"/>
    <s v="---"/>
    <n v="1"/>
    <n v="1"/>
    <n v="64.42040000000001"/>
    <n v="48.31530000000001"/>
    <n v="0"/>
    <n v="-48.31530000000001"/>
    <n v="103.7496984040001"/>
    <n v="49.48317724093557"/>
  </r>
  <r>
    <x v="10"/>
    <x v="0"/>
    <n v="2"/>
    <n v="1"/>
    <x v="1"/>
    <x v="1"/>
    <x v="0"/>
    <s v="---"/>
    <n v="1"/>
    <n v="1"/>
    <n v="837.4652000000003"/>
    <n v="628.0989000000003"/>
    <n v="0"/>
    <n v="-628.0989000000003"/>
    <n v="839.0497484177497"/>
    <n v="313.4933734171457"/>
  </r>
  <r>
    <x v="10"/>
    <x v="0"/>
    <n v="4"/>
    <n v="2"/>
    <x v="2"/>
    <x v="2"/>
    <x v="1"/>
    <s v="---"/>
    <n v="1"/>
    <n v="1"/>
    <n v="966.3060000000004"/>
    <n v="724.7295000000004"/>
    <n v="0"/>
    <n v="-724.7295000000004"/>
    <n v="1210.006795061252"/>
    <n v="-61.53698065348156"/>
  </r>
</pivotCacheRecords>
</file>

<file path=xl/pivotCache/pivotCacheRecords3.xml><?xml version="1.0" encoding="utf-8"?>
<pivotCacheRecords xmlns="http://schemas.openxmlformats.org/spreadsheetml/2006/main" count="10">
  <r>
    <x v="0"/>
    <x v="0"/>
    <x v="0"/>
    <n v="0"/>
    <x v="0"/>
    <n v="1"/>
    <n v="0.9999999999999999"/>
    <n v="3.273360854024771"/>
    <n v="-210"/>
    <n v="-30.72515988161237"/>
  </r>
  <r>
    <x v="0"/>
    <x v="1"/>
    <x v="0"/>
    <n v="1"/>
    <x v="0"/>
    <n v="1"/>
    <n v="0.9892612371179855"/>
    <n v="-0.7592692851644819"/>
    <n v="300"/>
    <n v="98.61"/>
  </r>
  <r>
    <x v="0"/>
    <x v="2"/>
    <x v="0"/>
    <n v="2"/>
    <x v="0"/>
    <n v="1"/>
    <n v="1"/>
    <n v="-0.4922586774046994"/>
    <n v="-23.49000000000001"/>
    <n v="-96.04472019245181"/>
  </r>
  <r>
    <x v="0"/>
    <x v="3"/>
    <x v="0"/>
    <n v="3"/>
    <x v="0"/>
    <n v="1"/>
    <n v="1"/>
    <n v="0"/>
    <n v="394.972819956716"/>
    <n v="-52.65293014967654"/>
  </r>
  <r>
    <x v="0"/>
    <x v="4"/>
    <x v="0"/>
    <n v="4"/>
    <x v="0"/>
    <n v="1"/>
    <n v="0.9999999999999999"/>
    <n v="4.112031000646839"/>
    <n v="-466.51"/>
    <n v="38.2096234444254"/>
  </r>
  <r>
    <x v="1"/>
    <x v="0"/>
    <x v="0"/>
    <n v="0"/>
    <x v="0"/>
    <n v="1"/>
    <n v="0.9999999999999999"/>
    <n v="3.273360854024771"/>
    <n v="-210"/>
    <n v="-30.72515988161237"/>
  </r>
  <r>
    <x v="1"/>
    <x v="1"/>
    <x v="0"/>
    <n v="1"/>
    <x v="0"/>
    <n v="1"/>
    <n v="0.9892612371179855"/>
    <n v="-0.7592692851644819"/>
    <n v="300"/>
    <n v="98.61"/>
  </r>
  <r>
    <x v="1"/>
    <x v="2"/>
    <x v="0"/>
    <n v="2"/>
    <x v="0"/>
    <n v="1"/>
    <n v="1"/>
    <n v="-0.4922586774046994"/>
    <n v="-23.49000000000001"/>
    <n v="-96.04472019245181"/>
  </r>
  <r>
    <x v="1"/>
    <x v="3"/>
    <x v="0"/>
    <n v="3"/>
    <x v="0"/>
    <n v="1"/>
    <n v="1"/>
    <n v="0"/>
    <n v="394.972819956716"/>
    <n v="-52.65293014967654"/>
  </r>
  <r>
    <x v="1"/>
    <x v="4"/>
    <x v="0"/>
    <n v="4"/>
    <x v="0"/>
    <n v="1"/>
    <n v="0.9999999999999999"/>
    <n v="4.112031000646839"/>
    <n v="-466.51"/>
    <n v="38.2096234444254"/>
  </r>
</pivotCacheRecords>
</file>

<file path=xl/pivotCache/pivotCacheRecords4.xml><?xml version="1.0" encoding="utf-8"?>
<pivotCacheRecords xmlns="http://schemas.openxmlformats.org/spreadsheetml/2006/main" count="66">
  <r>
    <x v="0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1.766612263700097"/>
    <n v="16.96172758188619"/>
    <n v="62.68569494400224"/>
  </r>
  <r>
    <x v="0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062745849092551"/>
    <n v="9.96945849092544"/>
    <n v="0.0004694061254276349"/>
  </r>
  <r>
    <x v="0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3314576152193069"/>
    <n v="0.1885761522042877"/>
    <n v="0.0005716431657691225"/>
  </r>
  <r>
    <x v="0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254174606009926"/>
    <n v="-0.5780439924030958"/>
    <n v="0.0002725195947164952"/>
  </r>
  <r>
    <x v="0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2460713215354815"/>
    <n v="-0.4279286784644367"/>
    <n v="7.234050190158276e-05"/>
  </r>
  <r>
    <x v="0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1.716339722517489"/>
    <n v="16.48939722517456"/>
    <n v="100.1731638810112"/>
  </r>
  <r>
    <x v="1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1.943273490070107"/>
    <n v="16.96172758188619"/>
    <n v="68.95426443840248"/>
  </r>
  <r>
    <x v="1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169020434001806"/>
    <n v="9.96945849092544"/>
    <n v="0.0005163467379703984"/>
  </r>
  <r>
    <x v="1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3646033767412376"/>
    <n v="0.1885761522042877"/>
    <n v="0.0006288074823460349"/>
  </r>
  <r>
    <x v="1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379592066610919"/>
    <n v="-0.5780439924030958"/>
    <n v="0.0002997715541881448"/>
  </r>
  <r>
    <x v="1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2706784536890297"/>
    <n v="-0.4279286784644367"/>
    <n v="7.957455209174104e-05"/>
  </r>
  <r>
    <x v="1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1.887973694769238"/>
    <n v="16.48939722517456"/>
    <n v="110.1904802691123"/>
  </r>
  <r>
    <x v="2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137600839077118"/>
    <n v="16.96172758188619"/>
    <n v="75.84969088224273"/>
  </r>
  <r>
    <x v="2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285922477401987"/>
    <n v="9.96945849092544"/>
    <n v="0.0005679814117674384"/>
  </r>
  <r>
    <x v="2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4010637144153614"/>
    <n v="0.1885761522042877"/>
    <n v="0.0006916882305806384"/>
  </r>
  <r>
    <x v="2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517551273272011"/>
    <n v="-0.5780439924030958"/>
    <n v="0.0003297487096069593"/>
  </r>
  <r>
    <x v="2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2977462990579327"/>
    <n v="-0.4279286784644367"/>
    <n v="8.753200730091515e-05"/>
  </r>
  <r>
    <x v="2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076771064246162"/>
    <n v="16.48939722517456"/>
    <n v="121.2095282960236"/>
  </r>
  <r>
    <x v="3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35136092298483"/>
    <n v="16.96172758188619"/>
    <n v="83.43465997046701"/>
  </r>
  <r>
    <x v="3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414514725142186"/>
    <n v="9.96945849092544"/>
    <n v="0.0006247795529441822"/>
  </r>
  <r>
    <x v="3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4411700858568975"/>
    <n v="0.1885761522042877"/>
    <n v="0.0007608570536387023"/>
  </r>
  <r>
    <x v="3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669306400599212"/>
    <n v="-0.5780439924030958"/>
    <n v="0.0003627235805676552"/>
  </r>
  <r>
    <x v="3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327520928963726"/>
    <n v="-0.4279286784644367"/>
    <n v="9.628520803100668e-05"/>
  </r>
  <r>
    <x v="3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284448170670779"/>
    <n v="16.48939722517456"/>
    <n v="133.330481125626"/>
  </r>
  <r>
    <x v="4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586497015283313"/>
    <n v="16.96172758188619"/>
    <n v="91.77812596751372"/>
  </r>
  <r>
    <x v="4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555966197656404"/>
    <n v="9.96945849092544"/>
    <n v="0.0006872575082386004"/>
  </r>
  <r>
    <x v="4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4852870944425873"/>
    <n v="0.1885761522042877"/>
    <n v="0.0008369427590025726"/>
  </r>
  <r>
    <x v="4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836237040659133"/>
    <n v="-0.5780439924030958"/>
    <n v="0.0003989959386244208"/>
  </r>
  <r>
    <x v="4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3602730218600986"/>
    <n v="-0.4279286784644367"/>
    <n v="0.0001059137288341074"/>
  </r>
  <r>
    <x v="4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512892987737857"/>
    <n v="16.48939722517456"/>
    <n v="146.6635292381886"/>
  </r>
  <r>
    <x v="5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845146716811644"/>
    <n v="16.96172758188619"/>
    <n v="100.9559385642651"/>
  </r>
  <r>
    <x v="5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711562817422045"/>
    <n v="9.96945849092544"/>
    <n v="0.0007559832590624605"/>
  </r>
  <r>
    <x v="5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5338158038868461"/>
    <n v="0.1885761522042877"/>
    <n v="0.0009206370349028299"/>
  </r>
  <r>
    <x v="5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2019860744725047"/>
    <n v="-0.5780439924030958"/>
    <n v="0.0004388955324868629"/>
  </r>
  <r>
    <x v="5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3963003240461085"/>
    <n v="-0.4279286784644367"/>
    <n v="0.0001165051017175181"/>
  </r>
  <r>
    <x v="5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764182286511643"/>
    <n v="16.48939722517456"/>
    <n v="161.3298821620074"/>
  </r>
  <r>
    <x v="6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3.129661388492809"/>
    <n v="16.96172758188619"/>
    <n v="111.0515324206916"/>
  </r>
  <r>
    <x v="6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88271909916425"/>
    <n v="9.96945849092544"/>
    <n v="0.0008315815849687066"/>
  </r>
  <r>
    <x v="6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5871973842755308"/>
    <n v="0.1885761522042877"/>
    <n v="0.001012700738393113"/>
  </r>
  <r>
    <x v="6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2221846819197552"/>
    <n v="-0.5780439924030958"/>
    <n v="0.0004827850857355492"/>
  </r>
  <r>
    <x v="6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4359303564507194"/>
    <n v="-0.4279286784644367"/>
    <n v="0.0001281556118892699"/>
  </r>
  <r>
    <x v="6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3.040600515162807"/>
    <n v="16.48939722517456"/>
    <n v="177.4628703782082"/>
  </r>
  <r>
    <x v="7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3.44262752734209"/>
    <n v="16.96172758188619"/>
    <n v="122.1566856627608"/>
  </r>
  <r>
    <x v="7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2.070991009080675"/>
    <n v="9.96945849092544"/>
    <n v="0.0009147397434655773"/>
  </r>
  <r>
    <x v="7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645917122703084"/>
    <n v="0.1885761522042877"/>
    <n v="0.001113970812232424"/>
  </r>
  <r>
    <x v="7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2444031501117307"/>
    <n v="-0.5780439924030958"/>
    <n v="0.0005310635943091041"/>
  </r>
  <r>
    <x v="7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4795233920957914"/>
    <n v="-0.4279286784644367"/>
    <n v="0.0001409711730781969"/>
  </r>
  <r>
    <x v="7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3.344660566679089"/>
    <n v="16.48939722517456"/>
    <n v="195.2091574160291"/>
  </r>
  <r>
    <x v="8"/>
    <x v="0"/>
    <n v="0"/>
    <x v="0"/>
    <s v="---"/>
    <n v="0"/>
    <n v="1"/>
    <n v="1"/>
    <n v="1"/>
    <n v="1.00408742467761"/>
    <n v="100"/>
    <n v="1"/>
    <s v="---"/>
    <n v="-447.748718749973"/>
    <n v="61.6486370550474"/>
    <n v="451.156791062854"/>
    <n v="-28.2419139262338"/>
    <n v="3.7868902800763"/>
    <n v="33.4067231288136"/>
    <n v="134.3723542290369"/>
  </r>
  <r>
    <x v="8"/>
    <x v="0"/>
    <n v="1"/>
    <x v="1"/>
    <s v="---"/>
    <n v="0"/>
    <n v="3"/>
    <n v="1"/>
    <n v="1"/>
    <n v="99999"/>
    <n v="100"/>
    <n v="1"/>
    <s v="---"/>
    <n v="-657.30874953326"/>
    <n v="91.147889714713"/>
    <n v="662.408554436504"/>
    <n v="-40.8238406822604"/>
    <n v="2.278090109988742"/>
    <n v="50.3240490324526"/>
    <n v="0.001006213717812135"/>
  </r>
  <r>
    <x v="8"/>
    <x v="0"/>
    <n v="2"/>
    <x v="1"/>
    <s v="---"/>
    <n v="0"/>
    <n v="4"/>
    <n v="1"/>
    <n v="1"/>
    <n v="99999"/>
    <n v="100"/>
    <n v="1"/>
    <s v="---"/>
    <n v="-866.868780316546"/>
    <n v="120.647142374379"/>
    <n v="873.660317810155"/>
    <n v="-53.4057674382871"/>
    <n v="0.7105088349733925"/>
    <n v="67.2413749360916"/>
    <n v="0.001225367893455667"/>
  </r>
  <r>
    <x v="8"/>
    <x v="0"/>
    <n v="3"/>
    <x v="1"/>
    <s v="---"/>
    <n v="1"/>
    <n v="2"/>
    <n v="1"/>
    <n v="1"/>
    <n v="99999"/>
    <n v="100"/>
    <n v="1"/>
    <s v="---"/>
    <n v="-1076.42881109983"/>
    <n v="150.146395034044"/>
    <n v="1084.9120811838"/>
    <n v="-65.9876941943137"/>
    <n v="0.2688434651229038"/>
    <n v="84.1587008397306"/>
    <n v="0.0005841699537400145"/>
  </r>
  <r>
    <x v="8"/>
    <x v="0"/>
    <n v="4"/>
    <x v="1"/>
    <s v="---"/>
    <n v="2"/>
    <n v="3"/>
    <n v="1"/>
    <n v="1"/>
    <n v="99999"/>
    <n v="100"/>
    <n v="1"/>
    <s v="---"/>
    <n v="-1285.98884188312"/>
    <n v="179.64564769371"/>
    <n v="1296.16384455745"/>
    <n v="-78.56962095034039"/>
    <n v="0.05274757313053705"/>
    <n v="101.07602674337"/>
    <n v="0.0001550682903860166"/>
  </r>
  <r>
    <x v="8"/>
    <x v="0"/>
    <n v="5"/>
    <x v="1"/>
    <s v="---"/>
    <n v="3"/>
    <n v="4"/>
    <n v="1"/>
    <n v="1"/>
    <n v="0.6024524548065699"/>
    <n v="100"/>
    <n v="1"/>
    <s v="---"/>
    <n v="-1495.54887266641"/>
    <n v="209.144900353375"/>
    <n v="1507.4156079311"/>
    <n v="-91.151547706367"/>
    <n v="3.679126623346998"/>
    <n v="117.993352647009"/>
    <n v="214.730073157632"/>
  </r>
  <r>
    <x v="9"/>
    <x v="0"/>
    <n v="0"/>
    <x v="0"/>
    <s v="---"/>
    <n v="0"/>
    <n v="1"/>
    <n v="1"/>
    <n v="1"/>
    <n v="1.00408742467761"/>
    <n v="100"/>
    <n v="1"/>
    <s v="---"/>
    <n v="-1705.10890344969"/>
    <n v="238.644153013041"/>
    <n v="1718.66737130475"/>
    <n v="-103.733474462394"/>
    <n v="4.16557930808393"/>
    <n v="134.910678550648"/>
    <n v="147.8095896519406"/>
  </r>
  <r>
    <x v="9"/>
    <x v="0"/>
    <n v="1"/>
    <x v="1"/>
    <s v="---"/>
    <n v="0"/>
    <n v="3"/>
    <n v="1"/>
    <n v="1"/>
    <n v="99999"/>
    <n v="100"/>
    <n v="1"/>
    <s v="---"/>
    <n v="-1914.66893423298"/>
    <n v="268.143405672707"/>
    <n v="1929.9191346784"/>
    <n v="-116.315401218421"/>
    <n v="2.505899120987617"/>
    <n v="151.828004454287"/>
    <n v="0.001106835089593349"/>
  </r>
  <r>
    <x v="9"/>
    <x v="0"/>
    <n v="2"/>
    <x v="1"/>
    <s v="---"/>
    <n v="0"/>
    <n v="4"/>
    <n v="1"/>
    <n v="1"/>
    <n v="99999"/>
    <n v="100"/>
    <n v="1"/>
    <s v="---"/>
    <n v="-2124.22896501627"/>
    <n v="297.642658332372"/>
    <n v="2141.17089805206"/>
    <n v="-128.897327974447"/>
    <n v="0.7815597184707318"/>
    <n v="168.745330357926"/>
    <n v="0.001347904682801234"/>
  </r>
  <r>
    <x v="9"/>
    <x v="0"/>
    <n v="3"/>
    <x v="1"/>
    <s v="---"/>
    <n v="1"/>
    <n v="2"/>
    <n v="1"/>
    <n v="1"/>
    <n v="99999"/>
    <n v="100"/>
    <n v="1"/>
    <s v="---"/>
    <n v="-2333.78899579955"/>
    <n v="327.141910992038"/>
    <n v="2352.42266142571"/>
    <n v="-141.479254730474"/>
    <n v="0.2957278116351942"/>
    <n v="185.662656261565"/>
    <n v="0.000642586949114016"/>
  </r>
  <r>
    <x v="9"/>
    <x v="0"/>
    <n v="4"/>
    <x v="1"/>
    <s v="---"/>
    <n v="2"/>
    <n v="3"/>
    <n v="1"/>
    <n v="1"/>
    <n v="99999"/>
    <n v="100"/>
    <n v="1"/>
    <s v="---"/>
    <n v="-2543.34902658284"/>
    <n v="356.641163651704"/>
    <n v="2563.67442479936"/>
    <n v="-154.061181486501"/>
    <n v="0.05802233044359077"/>
    <n v="202.579982165204"/>
    <n v="0.0001705751194246183"/>
  </r>
  <r>
    <x v="9"/>
    <x v="0"/>
    <n v="5"/>
    <x v="1"/>
    <s v="---"/>
    <n v="3"/>
    <n v="4"/>
    <n v="1"/>
    <n v="1"/>
    <n v="0.6024524548065699"/>
    <n v="100"/>
    <n v="1"/>
    <s v="---"/>
    <n v="-2752.90905736613"/>
    <n v="386.140416311369"/>
    <n v="2774.92618817301"/>
    <n v="-166.643108242527"/>
    <n v="4.047039285681698"/>
    <n v="219.497308068843"/>
    <n v="236.2030804733952"/>
  </r>
  <r>
    <x v="10"/>
    <x v="0"/>
    <n v="0"/>
    <x v="0"/>
    <s v="---"/>
    <n v="0"/>
    <n v="1"/>
    <n v="1"/>
    <n v="1"/>
    <n v="1.00408742467761"/>
    <n v="100"/>
    <n v="1"/>
    <s v="---"/>
    <n v="-2962.46908814941"/>
    <n v="415.639668971035"/>
    <n v="2986.17795154666"/>
    <n v="-179.225034998554"/>
    <n v="4.582137238892323"/>
    <n v="236.414633972482"/>
    <n v="162.5905486171346"/>
  </r>
  <r>
    <x v="10"/>
    <x v="0"/>
    <n v="1"/>
    <x v="1"/>
    <s v="---"/>
    <n v="0"/>
    <n v="3"/>
    <n v="1"/>
    <n v="1"/>
    <n v="99999"/>
    <n v="100"/>
    <n v="1"/>
    <s v="---"/>
    <n v="-3172.0291189327"/>
    <n v="445.138921630701"/>
    <n v="3197.42971492031"/>
    <n v="-191.806961754581"/>
    <n v="2.756489033086379"/>
    <n v="253.331959876121"/>
    <n v="0.001217518598552684"/>
  </r>
  <r>
    <x v="10"/>
    <x v="0"/>
    <n v="2"/>
    <x v="1"/>
    <s v="---"/>
    <n v="0"/>
    <n v="4"/>
    <n v="1"/>
    <n v="1"/>
    <n v="99999"/>
    <n v="100"/>
    <n v="1"/>
    <s v="---"/>
    <n v="-3381.58914971598"/>
    <n v="474.638174290366"/>
    <n v="3408.68147829396"/>
    <n v="-204.388888510607"/>
    <n v="0.859715690317805"/>
    <n v="270.24928577976"/>
    <n v="0.001482695151081358"/>
  </r>
  <r>
    <x v="10"/>
    <x v="0"/>
    <n v="3"/>
    <x v="1"/>
    <s v="---"/>
    <n v="1"/>
    <n v="2"/>
    <n v="1"/>
    <n v="1"/>
    <n v="99999"/>
    <n v="100"/>
    <n v="1"/>
    <s v="---"/>
    <n v="-3591.14918049927"/>
    <n v="504.137426950032"/>
    <n v="3619.93324166761"/>
    <n v="-216.970815266634"/>
    <n v="0.3253005927987137"/>
    <n v="287.166611683399"/>
    <n v="0.0007068456440254176"/>
  </r>
  <r>
    <x v="10"/>
    <x v="0"/>
    <n v="4"/>
    <x v="1"/>
    <s v="---"/>
    <n v="2"/>
    <n v="3"/>
    <n v="1"/>
    <n v="1"/>
    <n v="99999"/>
    <n v="100"/>
    <n v="1"/>
    <s v="---"/>
    <n v="-3800.70921128256"/>
    <n v="533.636679609698"/>
    <n v="3831.18500504126"/>
    <n v="-229.552742022661"/>
    <n v="0.06382456348794985"/>
    <n v="304.083937587038"/>
    <n v="0.0001876326313670801"/>
  </r>
  <r>
    <x v="10"/>
    <x v="0"/>
    <n v="5"/>
    <x v="1"/>
    <s v="---"/>
    <n v="3"/>
    <n v="4"/>
    <n v="1"/>
    <n v="1"/>
    <n v="0.6024524548065699"/>
    <n v="100"/>
    <n v="1"/>
    <s v="---"/>
    <n v="-4010.26924206584"/>
    <n v="563.135932269363"/>
    <n v="4042.43676841491"/>
    <n v="-242.134668778687"/>
    <n v="4.451743214249868"/>
    <n v="321.001263490677"/>
    <n v="259.8233885207347"/>
  </r>
</pivotCacheRecords>
</file>

<file path=xl/pivotCache/pivotCacheRecords5.xml><?xml version="1.0" encoding="utf-8"?>
<pivotCacheRecords xmlns="http://schemas.openxmlformats.org/spreadsheetml/2006/main" count="53">
  <r>
    <x v="0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0"/>
    <x v="0"/>
    <n v="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0"/>
    <x v="0"/>
    <n v="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3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2.42563832807324"/>
  </r>
  <r>
    <x v="3"/>
    <x v="0"/>
    <n v="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3.4256383280732"/>
  </r>
  <r>
    <x v="3"/>
    <x v="0"/>
    <n v="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4.4256383280732"/>
  </r>
  <r>
    <x v="3"/>
    <x v="0"/>
    <n v="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5.4256383280732"/>
  </r>
  <r>
    <x v="3"/>
    <x v="0"/>
    <n v="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6.4256383280732"/>
  </r>
  <r>
    <x v="4"/>
    <x v="0"/>
    <n v="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57.4256383280732"/>
  </r>
  <r>
    <x v="4"/>
    <x v="0"/>
    <n v="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58.4256383280732"/>
  </r>
  <r>
    <x v="4"/>
    <x v="0"/>
    <n v="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59.4256383280732"/>
  </r>
  <r>
    <x v="4"/>
    <x v="0"/>
    <n v="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60.4256383280732"/>
  </r>
  <r>
    <x v="4"/>
    <x v="0"/>
    <n v="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61.4256383280732"/>
  </r>
  <r>
    <x v="5"/>
    <x v="0"/>
    <n v="1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2.4256383280732"/>
  </r>
  <r>
    <x v="5"/>
    <x v="0"/>
    <n v="1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3.4256383280732"/>
  </r>
  <r>
    <x v="5"/>
    <x v="0"/>
    <n v="1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4.42563832807321"/>
  </r>
  <r>
    <x v="5"/>
    <x v="0"/>
    <n v="1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5.42563832807321"/>
  </r>
  <r>
    <x v="5"/>
    <x v="0"/>
    <n v="1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6.42563832807321"/>
  </r>
  <r>
    <x v="6"/>
    <x v="0"/>
    <n v="1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67.42563832807321"/>
  </r>
  <r>
    <x v="6"/>
    <x v="0"/>
    <n v="1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68.42563832807321"/>
  </r>
  <r>
    <x v="6"/>
    <x v="0"/>
    <n v="1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69.42563832807321"/>
  </r>
  <r>
    <x v="6"/>
    <x v="0"/>
    <n v="1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70.42563832807321"/>
  </r>
  <r>
    <x v="6"/>
    <x v="0"/>
    <n v="1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71.42563832807321"/>
  </r>
  <r>
    <x v="7"/>
    <x v="0"/>
    <n v="2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2.42563832807321"/>
  </r>
  <r>
    <x v="7"/>
    <x v="0"/>
    <n v="2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3.42563832807321"/>
  </r>
  <r>
    <x v="7"/>
    <x v="0"/>
    <n v="2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4.42563832807321"/>
  </r>
  <r>
    <x v="7"/>
    <x v="0"/>
    <n v="2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5.42563832807321"/>
  </r>
  <r>
    <x v="7"/>
    <x v="0"/>
    <n v="2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6.42563832807321"/>
  </r>
  <r>
    <x v="8"/>
    <x v="0"/>
    <n v="2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77.42563832807321"/>
  </r>
  <r>
    <x v="8"/>
    <x v="0"/>
    <n v="2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78.42563832807321"/>
  </r>
  <r>
    <x v="8"/>
    <x v="0"/>
    <n v="2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79.42563832807321"/>
  </r>
  <r>
    <x v="8"/>
    <x v="0"/>
    <n v="2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80.42563832807321"/>
  </r>
  <r>
    <x v="8"/>
    <x v="0"/>
    <n v="2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81.42563832807321"/>
  </r>
  <r>
    <x v="9"/>
    <x v="0"/>
    <n v="3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2.42563832807321"/>
  </r>
  <r>
    <x v="9"/>
    <x v="0"/>
    <n v="3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3.42563832807321"/>
  </r>
  <r>
    <x v="9"/>
    <x v="0"/>
    <n v="3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4.42563832807321"/>
  </r>
  <r>
    <x v="9"/>
    <x v="0"/>
    <n v="3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5.42563832807321"/>
  </r>
  <r>
    <x v="9"/>
    <x v="0"/>
    <n v="3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6.42563832807321"/>
  </r>
  <r>
    <x v="10"/>
    <x v="0"/>
    <n v="3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87.42563832807321"/>
  </r>
  <r>
    <x v="10"/>
    <x v="0"/>
    <n v="3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88.42563832807321"/>
  </r>
  <r>
    <x v="10"/>
    <x v="0"/>
    <n v="3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89.42563832807321"/>
  </r>
  <r>
    <x v="10"/>
    <x v="0"/>
    <n v="3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90.42563832807321"/>
  </r>
  <r>
    <x v="10"/>
    <x v="0"/>
    <n v="3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91.42563832807321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3.xml" Id="rId1" 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4.xml" Id="rId1" 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5.xml" Id="rId1" 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PivotTable4" cacheId="8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B16" firstHeaderRow="1" firstDataRow="1" firstDataCol="1" rowPageCount="2" colPageCount="1"/>
  <pivotFields count="8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1"/>
        <item t="data" sd="1" x="0"/>
        <item t="default" sd="1"/>
      </items>
    </pivotField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Items count="1">
    <i t="data" r="0" i="0"/>
  </colItems>
  <pageFields count="2">
    <pageField fld="1" hier="-1"/>
    <pageField fld="5" hier="-1"/>
  </pageFields>
  <dataFields count="1">
    <dataField name="Sum of Active Power [MW]" fld="6" subtotal="sum" showDataAs="normal" baseField="0" baseItem="0"/>
  </dataFields>
  <chartFormats count="2">
    <chartFormat chart="1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2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ptgen01" cacheId="5" dataOnRows="0" dataCaption="Values" showError="0" showMissing="1" updatedVersion="8" minRefreshableVersion="3" asteriskTotals="1" showItems="1" editData="0" disableFieldList="0" showCalcMbrs="1" visualTotals="1" showMultipleLabel="1" showDataDropDown="1" showDrill="1" printDrill="0" showMemberPropertyTips="0" showDataTips="1" enableWizard="1" enableDrill="1" enableFieldProperties="1" preserveFormatting="1" useAutoFormatting="1" pageWrap="0" pageOverThenDown="1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8" fieldListSortAscending="0" mdxSubqueries="0" applyNumberFormats="0" applyBorderFormats="0" applyFontFormats="0" applyPatternFormats="0" applyAlignmentFormats="0" applyWidthHeightFormats="1" r:id="rId1">
  <location ref="B3:I17" firstHeaderRow="1" firstDataRow="3" firstDataCol="1" rowPageCount="1" colPageCount="2"/>
  <pivotFields count="16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4">
        <item t="data" sd="1" x="0"/>
        <item t="data" sd="1" x="1"/>
        <item t="data" sd="1" x="2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4">
        <item t="data" sd="1" x="1"/>
        <item t="data" sd="1" x="0"/>
        <item t="data" sd="1" x="2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2">
    <field x="4"/>
    <field x="5"/>
  </colFields>
  <colItems count="7">
    <i t="data" r="0" i="0">
      <x v="0"/>
      <x v="1"/>
    </i>
    <i t="default" r="0" i="0">
      <x v="0"/>
    </i>
    <i t="data" r="0" i="0">
      <x v="1"/>
      <x v="0"/>
    </i>
    <i t="default" r="0" i="0">
      <x v="1"/>
    </i>
    <i t="data" r="0" i="0">
      <x v="2"/>
      <x v="2"/>
    </i>
    <i t="default" r="0" i="0">
      <x v="2"/>
    </i>
    <i t="grand" r="0" i="0">
      <x v="0"/>
    </i>
  </colItems>
  <pageFields count="2">
    <pageField fld="1" hier="-1"/>
    <pageField fld="6" hier="-1"/>
  </pageFields>
  <dataFields count="1">
    <dataField name="Sum of  Active Power [MW]" fld="14" subtotal="sum" showDataAs="normal" baseField="0" baseItem="0"/>
  </dataFields>
  <chartFormats count="12">
    <chartFormat chart="2" format="6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2" format="7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2" format="8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  <chartFormat chart="3" format="9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3" format="10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3" format="11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  <chartFormat chart="1" format="12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1" format="13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1" format="14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  <chartFormat chart="7" format="18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7" format="19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7" format="20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PivotTable1" cacheId="5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3:B13" firstHeaderRow="1" firstDataRow="1" firstDataCol="1"/>
  <pivotFields count="16"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Row" showDropDowns="1" compact="1" outline="1" subtotalTop="1" dragToRow="1" dragToCol="1" dragToPage="1" dragToData="1" dragOff="1" showAll="0" topAutoShow="1" itemPageCount="10" sortType="manual" defaultSubtotal="1">
      <items count="4">
        <item t="data" sd="1" x="0"/>
        <item t="data" sd="1" x="1"/>
        <item t="data" sd="1" x="2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4">
        <item t="data" sd="1" x="1"/>
        <item t="data" sd="1" x="0"/>
        <item t="data" sd="1" x="2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3">
    <field x="4"/>
    <field x="5"/>
    <field x="6"/>
  </rowFields>
  <rowItems count="10">
    <i t="data" r="0" i="0">
      <x v="0"/>
    </i>
    <i t="data" r="1" i="0">
      <x v="1"/>
    </i>
    <i t="data" r="2" i="0">
      <x v="0"/>
    </i>
    <i t="data" r="0" i="0">
      <x v="1"/>
    </i>
    <i t="data" r="1" i="0">
      <x v="0"/>
    </i>
    <i t="data" r="2" i="0">
      <x v="0"/>
    </i>
    <i t="data" r="0" i="0">
      <x v="2"/>
    </i>
    <i t="data" r="1" i="0">
      <x v="2"/>
    </i>
    <i t="data" r="2" i="0">
      <x v="1"/>
    </i>
    <i t="grand" r="0" i="0">
      <x v="0"/>
    </i>
  </rowItems>
  <colItems count="1">
    <i t="data" r="0" i="0"/>
  </colItems>
  <dataFields count="1">
    <dataField name="Sum of  Active Power [MW]" fld="14" subtotal="sum" showDataAs="normal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PivotTable3" cacheId="7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5" fieldListSortAscending="0" mdxSubqueries="0" applyNumberFormats="0" applyBorderFormats="0" applyFontFormats="0" applyPatternFormats="0" applyAlignmentFormats="0" applyWidthHeightFormats="1" r:id="rId1">
  <location ref="A4:B10" firstHeaderRow="1" firstDataRow="1" firstDataCol="1" rowPageCount="2" colPageCount="1"/>
  <pivotFields count="10"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6">
        <item t="data" sd="1" x="0"/>
        <item t="data" sd="1" x="1"/>
        <item t="data" sd="1" x="2"/>
        <item t="data" sd="1" x="3"/>
        <item t="data" sd="1" x="4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1"/>
  </rowFields>
  <rowItems count="6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grand" r="0" i="0">
      <x v="0"/>
    </i>
  </rowItems>
  <colItems count="1">
    <i t="data" r="0" i="0"/>
  </colItems>
  <pageFields count="2">
    <pageField fld="0" item="0" hier="-1"/>
    <pageField fld="2" hier="-1"/>
  </pageFields>
  <dataFields count="1">
    <dataField name="Sum of Voltage [p.u]" fld="6" subtotal="sum" showDataAs="normal" baseField="1" baseItem="2"/>
  </dataFields>
  <chartFormats count="1">
    <chartFormat chart="2" format="2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PivotTable2" cacheId="9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16" firstHeaderRow="0" firstDataRow="1" firstDataCol="1" rowPageCount="2" colPageCount="1"/>
  <pivotFields count="20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2">
    <pageField fld="1" hier="-1"/>
    <pageField fld="3" hier="-1"/>
  </pageFields>
  <dataFields count="3">
    <dataField name="Max of Loading Percent [%]" fld="19" subtotal="max" showDataAs="normal" baseField="0" baseItem="0"/>
    <dataField name="Average of Loading Percent [%]" fld="19" subtotal="average" showDataAs="normal" baseField="0" baseItem="0"/>
    <dataField name="Min of Loading Percent [%]2" fld="19" subtotal="min" showDataAs="normal" baseField="0" baseItem="0"/>
  </dataFields>
  <chartFormats count="15">
    <chartFormat chart="2" format="12" series="1">
      <pivotArea type="data" dataOnly="1" outline="0" fieldPosition="0">
        <references count="3">
          <reference field="4294967294" selected="0">
            <x v="0"/>
          </reference>
          <reference field="1" selected="0">
            <x v="0"/>
          </reference>
          <reference field="3" selected="0">
            <x v="0"/>
          </reference>
        </references>
      </pivotArea>
    </chartFormat>
    <chartFormat chart="2" format="13" series="1">
      <pivotArea type="data" dataOnly="1" outline="0" fieldPosition="0">
        <references count="3">
          <reference field="4294967294" selected="0">
            <x v="1"/>
          </reference>
          <reference field="1" selected="0">
            <x v="0"/>
          </reference>
          <reference field="3" selected="0">
            <x v="0"/>
          </reference>
        </references>
      </pivotArea>
    </chartFormat>
    <chartFormat chart="2" format="14" series="1">
      <pivotArea type="data" dataOnly="1" outline="0" fieldPosition="0">
        <references count="3">
          <reference field="4294967294" selected="0">
            <x v="2"/>
          </reference>
          <reference field="1" selected="0">
            <x v="0"/>
          </reference>
          <reference field="3" selected="0">
            <x v="0"/>
          </reference>
        </references>
      </pivotArea>
    </chartFormat>
    <chartFormat chart="2" format="15" series="1">
      <pivotArea type="data" dataOnly="1" outline="0" fieldPosition="0">
        <references count="3">
          <reference field="4294967294" selected="0">
            <x v="0"/>
          </reference>
          <reference field="1" selected="0">
            <x v="0"/>
          </reference>
          <reference field="3" selected="0">
            <x v="1"/>
          </reference>
        </references>
      </pivotArea>
    </chartFormat>
    <chartFormat chart="2" format="16" series="1">
      <pivotArea type="data" dataOnly="1" outline="0" fieldPosition="0">
        <references count="3">
          <reference field="4294967294" selected="0">
            <x v="1"/>
          </reference>
          <reference field="1" selected="0">
            <x v="0"/>
          </reference>
          <reference field="3" selected="0">
            <x v="1"/>
          </reference>
        </references>
      </pivotArea>
    </chartFormat>
    <chartFormat chart="2" format="17" series="1">
      <pivotArea type="data" dataOnly="1" outline="0" fieldPosition="0">
        <references count="3">
          <reference field="4294967294" selected="0">
            <x v="2"/>
          </reference>
          <reference field="1" selected="0">
            <x v="0"/>
          </reference>
          <reference field="3" selected="0">
            <x v="1"/>
          </reference>
        </references>
      </pivotArea>
    </chartFormat>
    <chartFormat chart="2" format="18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2" format="19" series="1">
      <pivotArea type="data" dataOnly="1" outline="0" fieldPosition="0">
        <references count="2">
          <reference field="4294967294" selected="0">
            <x v="1"/>
          </reference>
          <reference field="3" selected="0">
            <x v="0"/>
          </reference>
        </references>
      </pivotArea>
    </chartFormat>
    <chartFormat chart="2" format="20" series="1">
      <pivotArea type="data" dataOnly="1" outline="0" fieldPosition="0">
        <references count="2">
          <reference field="4294967294" selected="0">
            <x v="2"/>
          </reference>
          <reference field="3" selected="0">
            <x v="0"/>
          </reference>
        </references>
      </pivotArea>
    </chartFormat>
    <chartFormat chart="2" format="21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1"/>
          </reference>
        </references>
      </pivotArea>
    </chartFormat>
    <chartFormat chart="2" format="22" series="1">
      <pivotArea type="data" dataOnly="1" outline="0" fieldPosition="0">
        <references count="2">
          <reference field="4294967294" selected="0">
            <x v="1"/>
          </reference>
          <reference field="3" selected="0">
            <x v="1"/>
          </reference>
        </references>
      </pivotArea>
    </chartFormat>
    <chartFormat chart="2" format="23" series="1">
      <pivotArea type="data" dataOnly="1" outline="0" fieldPosition="0">
        <references count="2">
          <reference field="4294967294" selected="0">
            <x v="2"/>
          </reference>
          <reference field="3" selected="0">
            <x v="1"/>
          </reference>
        </references>
      </pivotArea>
    </chartFormat>
    <chartFormat chart="2" format="24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25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2" format="26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PivotTable3" cacheId="9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B16" firstHeaderRow="1" firstDataRow="1" firstDataCol="1" rowPageCount="2" colPageCount="1"/>
  <pivotFields count="20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Items count="1">
    <i t="data" r="0" i="0"/>
  </colItems>
  <pageFields count="2">
    <pageField fld="1" hier="-1"/>
    <pageField fld="3" hier="-1"/>
  </pageFields>
  <dataFields count="1">
    <dataField name="Sum of Losses [MW]" fld="17" subtotal="sum" showDataAs="normal" baseField="0" baseItem="0"/>
  </dataFields>
  <chartFormats count="1">
    <chartFormat chart="2" format="8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PivotTable1" cacheId="6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18" firstHeaderRow="1" firstDataRow="3" firstDataCol="1" rowPageCount="1" colPageCount="1"/>
  <pivotFields count="21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2">
    <field x="7"/>
    <field x="8"/>
  </colFields>
  <colItems count="3">
    <i t="data" r="0" i="0">
      <x v="0"/>
      <x v="0"/>
    </i>
    <i t="default" r="0" i="0">
      <x v="0"/>
    </i>
    <i t="grand" r="0" i="0">
      <x v="0"/>
    </i>
  </colItems>
  <pageFields count="1">
    <pageField fld="1" hier="-1"/>
  </pageFields>
  <dataFields count="1">
    <dataField name="Sum of Losses [MW]" fld="18" subtotal="sum" showDataAs="normal" baseField="0" baseItem="0"/>
  </dataFields>
  <chartFormats count="1">
    <chartFormat chart="2" format="2" series="1">
      <pivotArea type="data" dataOnly="1" outline="0" fieldPosition="0">
        <references count="3">
          <reference field="4294967294" selected="0">
            <x v="0"/>
          </reference>
          <reference field="7" selected="0">
            <x v="0"/>
          </reference>
          <reference field="8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PivotTable2" cacheId="6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J19" firstHeaderRow="1" firstDataRow="4" firstDataCol="1" rowPageCount="1" colPageCount="1"/>
  <pivotFields count="21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3">
    <field x="-2"/>
    <field x="7"/>
    <field x="8"/>
  </colFields>
  <colItems count="9">
    <i t="data" r="0" i="0">
      <x v="0"/>
      <x v="0"/>
      <x v="0"/>
    </i>
    <i t="default" r="1" i="0">
      <x v="0"/>
    </i>
    <i t="data" r="0" i="1">
      <x v="1"/>
      <x v="0"/>
      <x v="0"/>
    </i>
    <i t="default" r="1" i="1">
      <x v="0"/>
    </i>
    <i t="data" r="0" i="2">
      <x v="2"/>
      <x v="0"/>
      <x v="0"/>
    </i>
    <i t="default" r="1" i="2">
      <x v="0"/>
    </i>
    <i t="grand" r="0" i="0">
      <x v="0"/>
    </i>
    <i t="grand" r="0" i="1">
      <x v="0"/>
    </i>
    <i t="grand" r="0" i="2">
      <x v="0"/>
    </i>
  </colItems>
  <pageFields count="1">
    <pageField fld="1" hier="-1"/>
  </pageFields>
  <dataFields count="3">
    <dataField name="Max of Loading Percent [%]" fld="20" subtotal="max" showDataAs="normal" baseField="0" baseItem="0"/>
    <dataField name="Average of Loading Percent [%]2" fld="20" subtotal="average" showDataAs="normal" baseField="0" baseItem="3"/>
    <dataField name="Min of Loading Percent [%]3" fld="20" subtotal="min" showDataAs="normal" baseField="0" baseItem="0"/>
  </dataFields>
  <chartFormats count="3">
    <chartFormat chart="2" format="6" series="1">
      <pivotArea type="data" dataOnly="1" outline="0" fieldPosition="0">
        <references count="3">
          <reference field="4294967294" selected="0">
            <x v="0"/>
          </reference>
          <reference field="7" selected="0">
            <x v="0"/>
          </reference>
          <reference field="8" selected="0">
            <x v="0"/>
          </reference>
        </references>
      </pivotArea>
    </chartFormat>
    <chartFormat chart="2" format="7" series="1">
      <pivotArea type="data" dataOnly="1" outline="0" fieldPosition="0">
        <references count="3">
          <reference field="4294967294" selected="0">
            <x v="1"/>
          </reference>
          <reference field="7" selected="0">
            <x v="0"/>
          </reference>
          <reference field="8" selected="0">
            <x v="0"/>
          </reference>
        </references>
      </pivotArea>
    </chartFormat>
    <chartFormat chart="2" format="8" series="1">
      <pivotArea type="data" dataOnly="1" outline="0" fieldPosition="0">
        <references count="3">
          <reference field="4294967294" selected="0">
            <x v="2"/>
          </reference>
          <reference field="7" selected="0">
            <x v="0"/>
          </reference>
          <reference field="8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Demand" displayName="Demand" ref="C4:I12" headerRowCount="1" insertRow="1" totalsRowShown="0" headerRowDxfId="43">
  <autoFilter ref="C4:I5"/>
  <tableColumns count="7">
    <tableColumn id="8" name="step"/>
    <tableColumn id="2" name="index"/>
    <tableColumn id="7" name="zone"/>
    <tableColumn id="3" name="bus"/>
    <tableColumn id="4" name="in_service"/>
    <tableColumn id="1" name="p_mw"/>
    <tableColumn id="5" name="q_mvar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id="2" name="Generation" displayName="Generation" ref="C4:Q6" headerRowCount="1" insertRow="1" totalsRowShown="0" headerRowDxfId="42">
  <autoFilter ref="C4:Q5"/>
  <tableColumns count="15">
    <tableColumn id="16" name="Step"/>
    <tableColumn id="12" name="type" dataDxfId="41"/>
    <tableColumn id="1" name="Index"/>
    <tableColumn id="2" name="zone"/>
    <tableColumn id="14" name="bus"/>
    <tableColumn id="15" name="name"/>
    <tableColumn id="7" name="in_service"/>
    <tableColumn id="3" name="fuel"/>
    <tableColumn id="4" name="vm_pu"/>
    <tableColumn id="5" name="max_p_mw"/>
    <tableColumn id="6" name="max_q_mw"/>
    <tableColumn id="8" name="min_p_mw"/>
    <tableColumn id="9" name="min_q_mvar"/>
    <tableColumn id="10" name="p_mw "/>
    <tableColumn id="11" name="q_mvar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id="3" name="Buses" displayName="Buses" ref="C4:L14" headerRowCount="1" insertRow="1" totalsRowShown="0">
  <autoFilter ref="C4:L5"/>
  <tableColumns count="10">
    <tableColumn id="10" name="step"/>
    <tableColumn id="1" name="index"/>
    <tableColumn id="2" name="zone"/>
    <tableColumn id="3" name="name"/>
    <tableColumn id="4" name="vn_kv"/>
    <tableColumn id="5" name="in_service"/>
    <tableColumn id="6" name="vm_pu"/>
    <tableColumn id="7" name="va_degree"/>
    <tableColumn id="8" name="p_mw"/>
    <tableColumn id="9" name="q_mvar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id="4" name="Lines" displayName="Lines" ref="C4:U12" headerRowCount="1" insertRow="1" totalsRowShown="0">
  <autoFilter ref="C4:U5"/>
  <tableColumns count="19">
    <tableColumn id="19" name="step"/>
    <tableColumn id="1" name="index"/>
    <tableColumn id="14" name="zone"/>
    <tableColumn id="3" name="name"/>
    <tableColumn id="4" name="from_bus"/>
    <tableColumn id="5" name="to_bus"/>
    <tableColumn id="6" name="in_service"/>
    <tableColumn id="8" name="length_km"/>
    <tableColumn id="9" name="max_i_ka"/>
    <tableColumn id="10" name="max_loading_percent"/>
    <tableColumn id="11" name="parallel"/>
    <tableColumn id="12" name="std_type"/>
    <tableColumn id="13" name="p_from_mw"/>
    <tableColumn id="2" name="q_from_mvar"/>
    <tableColumn id="7" name="p_to_mw"/>
    <tableColumn id="15" name="q_to_mvar"/>
    <tableColumn id="16" name="pl_mw"/>
    <tableColumn id="17" name="ql_mvar"/>
    <tableColumn id="18" name="loading_percent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id="5" name="Trafos" displayName="Trafos" ref="C4:W5" headerRowCount="1" insertRow="1" totalsRowShown="0" headerRowDxfId="0">
  <autoFilter ref="C4:W5"/>
  <tableColumns count="21">
    <tableColumn id="20" name="step"/>
    <tableColumn id="1" name="index" dataDxfId="40" totalsRowDxfId="39"/>
    <tableColumn id="14" name="zone" dataDxfId="38" totalsRowDxfId="37"/>
    <tableColumn id="3" name="name" dataDxfId="36" totalsRowDxfId="35"/>
    <tableColumn id="4" name="std_type" dataDxfId="34" totalsRowDxfId="33"/>
    <tableColumn id="5" name="hv_bus" dataDxfId="32" totalsRowDxfId="31"/>
    <tableColumn id="6" name="lv_bus" dataDxfId="30" totalsRowDxfId="29"/>
    <tableColumn id="8" name="vn_hv_kv" dataDxfId="28" totalsRowDxfId="27"/>
    <tableColumn id="10" name="vn_lv_kv" dataDxfId="26" totalsRowDxfId="25"/>
    <tableColumn id="11" name="pfe_kw" dataDxfId="24" totalsRowDxfId="23"/>
    <tableColumn id="12" name="shift_degree" dataDxfId="22" totalsRowDxfId="21"/>
    <tableColumn id="13" name="tap_pos" dataDxfId="20" totalsRowDxfId="19"/>
    <tableColumn id="2" name="parallel" dataDxfId="18" totalsRowDxfId="17"/>
    <tableColumn id="7" name="in_service" dataDxfId="16" totalsRowDxfId="15"/>
    <tableColumn id="15" name="p_hv_mw" dataDxfId="14" totalsRowDxfId="13"/>
    <tableColumn id="16" name="q_hv_mvar" dataDxfId="12" totalsRowDxfId="11"/>
    <tableColumn id="17" name="p_lv_mw" dataDxfId="10" totalsRowDxfId="9"/>
    <tableColumn id="18" name="q_lv_mvar" dataDxfId="8" totalsRowDxfId="7"/>
    <tableColumn id="23" name="pl_mw" dataDxfId="6" totalsRowDxfId="5"/>
    <tableColumn id="9" name="ql_mvar" dataDxfId="4" totalsRowDxfId="3"/>
    <tableColumn id="19" name="loading_percent" dataDxfId="2" totalsRowDxfId="1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_rels/sheet5.xml.rels><Relationships xmlns="http://schemas.openxmlformats.org/package/2006/relationships"><Relationship Type="http://schemas.openxmlformats.org/officeDocument/2006/relationships/table" Target="/xl/tables/table3.xml" Id="rId1" /></Relationships>
</file>

<file path=xl/worksheets/_rels/sheet6.xml.rels><Relationships xmlns="http://schemas.openxmlformats.org/package/2006/relationships"><Relationship Type="http://schemas.openxmlformats.org/officeDocument/2006/relationships/table" Target="/xl/tables/table4.xml" Id="rId1" /></Relationships>
</file>

<file path=xl/worksheets/_rels/sheet7.xml.rels><Relationships xmlns="http://schemas.openxmlformats.org/package/2006/relationships"><Relationship Type="http://schemas.openxmlformats.org/officeDocument/2006/relationships/table" Target="/xl/tables/table5.xml" Id="rId1" /></Relationships>
</file>

<file path=xl/worksheets/_rels/sheet8.xml.rels><Relationships xmlns="http://schemas.openxmlformats.org/package/2006/relationships"><Relationship Type="http://schemas.openxmlformats.org/officeDocument/2006/relationships/pivotTable" Target="/xl/pivotTables/pivotTable1.xml" Id="rId1" /></Relationships>
</file>

<file path=xl/worksheets/_rels/sheet9.xml.rels><Relationships xmlns="http://schemas.openxmlformats.org/package/2006/relationships"><Relationship Type="http://schemas.openxmlformats.org/officeDocument/2006/relationships/pivotTable" Target="/xl/pivotTables/pivotTable2.xml" Id="rId1" /></Relationships>
</file>

<file path=xl/worksheets/_rels/sheet10.xml.rels><Relationships xmlns="http://schemas.openxmlformats.org/package/2006/relationships"><Relationship Type="http://schemas.openxmlformats.org/officeDocument/2006/relationships/pivotTable" Target="/xl/pivotTables/pivotTable3.xml" Id="rId1" /></Relationships>
</file>

<file path=xl/worksheets/_rels/sheet11.xml.rels><Relationships xmlns="http://schemas.openxmlformats.org/package/2006/relationships"><Relationship Type="http://schemas.openxmlformats.org/officeDocument/2006/relationships/pivotTable" Target="/xl/pivotTables/pivotTable4.xml" Id="rId1" /></Relationships>
</file>

<file path=xl/worksheets/_rels/sheet12.xml.rels><Relationships xmlns="http://schemas.openxmlformats.org/package/2006/relationships"><Relationship Type="http://schemas.openxmlformats.org/officeDocument/2006/relationships/pivotTable" Target="/xl/pivotTables/pivotTable5.xml" Id="rId1" /></Relationships>
</file>

<file path=xl/worksheets/_rels/sheet13.xml.rels><Relationships xmlns="http://schemas.openxmlformats.org/package/2006/relationships"><Relationship Type="http://schemas.openxmlformats.org/officeDocument/2006/relationships/pivotTable" Target="/xl/pivotTables/pivotTable6.xml" Id="rId1" /></Relationships>
</file>

<file path=xl/worksheets/_rels/sheet14.xml.rels><Relationships xmlns="http://schemas.openxmlformats.org/package/2006/relationships"><Relationship Type="http://schemas.openxmlformats.org/officeDocument/2006/relationships/pivotTable" Target="/xl/pivotTables/pivotTable7.xml" Id="rId1" /></Relationships>
</file>

<file path=xl/worksheets/_rels/sheet15.xml.rels><Relationships xmlns="http://schemas.openxmlformats.org/package/2006/relationships"><Relationship Type="http://schemas.openxmlformats.org/officeDocument/2006/relationships/pivotTable" Target="/xl/pivotTables/pivotTable8.xml" Id="rId1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/>
  </sheetPr>
  <dimension ref="A1:A1"/>
  <sheetViews>
    <sheetView topLeftCell="A4" workbookViewId="0">
      <selection activeCell="G20" sqref="G20"/>
    </sheetView>
  </sheetViews>
  <sheetFormatPr baseColWidth="8" defaultRowHeight="14.4"/>
  <sheetData/>
  <pageMargins left="0.7" right="0.7" top="0.75" bottom="0.75" header="0.3" footer="0.3"/>
  <pageSetup orientation="portrait"/>
  <legacyDrawing r:id="anysvml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>
    <outlinePr summaryBelow="1" summaryRight="1"/>
    <pageSetUpPr/>
  </sheetPr>
  <dimension ref="A1:A1"/>
  <sheetViews>
    <sheetView showGridLines="0" showRowColHeaders="0" zoomScaleNormal="100" workbookViewId="0">
      <selection activeCell="AA55" sqref="AA55"/>
    </sheetView>
  </sheetViews>
  <sheetFormatPr baseColWidth="8" defaultRowHeight="14.4"/>
  <cols>
    <col width="1.5546875" customWidth="1" min="1" max="1"/>
    <col width="12" customWidth="1" min="2" max="2"/>
  </cols>
  <sheetData>
    <row r="1" ht="6.75" customHeight="1"/>
  </sheetData>
  <pageMargins left="0.7" right="0.7" top="0.75" bottom="0.75" header="0.3" footer="0.3"/>
  <drawing r:id="rId1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3">
    <outlinePr summaryBelow="1" summaryRight="1"/>
    <pageSetUpPr/>
  </sheetPr>
  <dimension ref="B2:I12"/>
  <sheetViews>
    <sheetView workbookViewId="0">
      <selection activeCell="E14" sqref="E14"/>
    </sheetView>
  </sheetViews>
  <sheetFormatPr baseColWidth="8" defaultRowHeight="14.4"/>
  <cols>
    <col width="12.77734375" customWidth="1" min="2" max="2"/>
    <col width="9" bestFit="1" customWidth="1" min="3" max="3"/>
    <col width="10" bestFit="1" customWidth="1" min="4" max="4"/>
    <col width="9.44140625" bestFit="1" customWidth="1" min="5" max="5"/>
    <col width="9.109375" bestFit="1" customWidth="1" min="6" max="6"/>
    <col width="13.77734375" bestFit="1" customWidth="1" min="7" max="7"/>
    <col width="12" bestFit="1" customWidth="1" min="8" max="8"/>
    <col width="14" bestFit="1" customWidth="1" min="9" max="9"/>
  </cols>
  <sheetData>
    <row r="2" ht="21" customHeight="1">
      <c r="C2" s="17" t="inlineStr">
        <is>
          <t>Demand</t>
        </is>
      </c>
    </row>
    <row r="3" ht="29.4" customHeight="1" thickBot="1">
      <c r="B3" s="11" t="inlineStr">
        <is>
          <t>Parameter</t>
        </is>
      </c>
      <c r="C3" s="13" t="inlineStr">
        <is>
          <t>Time Step</t>
        </is>
      </c>
      <c r="D3" s="13" t="inlineStr">
        <is>
          <t>Load Index</t>
        </is>
      </c>
      <c r="E3" s="13" t="inlineStr">
        <is>
          <t>Zone</t>
        </is>
      </c>
      <c r="F3" s="13" t="inlineStr">
        <is>
          <t>Bus Index</t>
        </is>
      </c>
      <c r="G3" s="13" t="inlineStr">
        <is>
          <t>In service</t>
        </is>
      </c>
      <c r="H3" s="13" t="inlineStr">
        <is>
          <t>Active Power [MW]</t>
        </is>
      </c>
      <c r="I3" s="13" t="inlineStr">
        <is>
          <t>Reactive Power [MVAr]</t>
        </is>
      </c>
    </row>
    <row r="4" ht="29.4" customHeight="1" thickBot="1">
      <c r="B4" s="11" t="inlineStr">
        <is>
          <t>Pandapower Command</t>
        </is>
      </c>
      <c r="C4" s="3" t="inlineStr">
        <is>
          <t>step</t>
        </is>
      </c>
      <c r="D4" s="14" t="inlineStr">
        <is>
          <t>index</t>
        </is>
      </c>
      <c r="E4" s="14" t="inlineStr">
        <is>
          <t>zone</t>
        </is>
      </c>
      <c r="F4" s="14" t="inlineStr">
        <is>
          <t>bus</t>
        </is>
      </c>
      <c r="G4" s="14" t="inlineStr">
        <is>
          <t>in_service</t>
        </is>
      </c>
      <c r="H4" s="14" t="inlineStr">
        <is>
          <t>p_mw</t>
        </is>
      </c>
      <c r="I4" s="14" t="inlineStr">
        <is>
          <t>q_mvar</t>
        </is>
      </c>
    </row>
    <row r="5">
      <c r="B5" s="11" t="n"/>
      <c r="C5" s="4" t="n">
        <v>0</v>
      </c>
      <c r="D5" t="n">
        <v>0</v>
      </c>
      <c r="E5" t="inlineStr">
        <is>
          <t>---</t>
        </is>
      </c>
      <c r="F5" t="n">
        <v>2</v>
      </c>
      <c r="G5" t="n">
        <v>1</v>
      </c>
      <c r="H5" t="n">
        <v>0.008</v>
      </c>
      <c r="I5" t="n">
        <v>0</v>
      </c>
    </row>
    <row r="6">
      <c r="C6" s="5" t="n">
        <v>0</v>
      </c>
      <c r="D6" t="n">
        <v>1</v>
      </c>
      <c r="E6" t="inlineStr">
        <is>
          <t>---</t>
        </is>
      </c>
      <c r="F6" t="n">
        <v>3</v>
      </c>
      <c r="G6" t="n">
        <v>1</v>
      </c>
      <c r="H6" t="n">
        <v>0.008</v>
      </c>
      <c r="I6" t="n">
        <v>0</v>
      </c>
    </row>
    <row r="7">
      <c r="C7" t="n">
        <v>0</v>
      </c>
      <c r="D7" t="n">
        <v>2</v>
      </c>
      <c r="E7" t="inlineStr">
        <is>
          <t>---</t>
        </is>
      </c>
      <c r="F7" t="n">
        <v>4</v>
      </c>
      <c r="G7" t="n">
        <v>1</v>
      </c>
      <c r="H7" t="n">
        <v>0.008</v>
      </c>
      <c r="I7" t="n">
        <v>0</v>
      </c>
    </row>
    <row r="8">
      <c r="C8" t="n">
        <v>0</v>
      </c>
      <c r="D8" t="n">
        <v>3</v>
      </c>
      <c r="E8" t="inlineStr">
        <is>
          <t>---</t>
        </is>
      </c>
      <c r="F8" t="n">
        <v>5</v>
      </c>
      <c r="G8" t="n">
        <v>1</v>
      </c>
      <c r="H8" t="n">
        <v>0.008</v>
      </c>
      <c r="I8" t="n">
        <v>0</v>
      </c>
    </row>
    <row r="9">
      <c r="C9" t="n">
        <v>0</v>
      </c>
      <c r="D9" t="n">
        <v>4</v>
      </c>
      <c r="E9" t="inlineStr">
        <is>
          <t>---</t>
        </is>
      </c>
      <c r="F9" t="n">
        <v>6</v>
      </c>
      <c r="G9" t="n">
        <v>1</v>
      </c>
      <c r="H9" t="n">
        <v>0.008</v>
      </c>
      <c r="I9" t="n">
        <v>0</v>
      </c>
    </row>
    <row r="10">
      <c r="C10" t="n">
        <v>0</v>
      </c>
      <c r="D10" t="n">
        <v>5</v>
      </c>
      <c r="E10" t="inlineStr">
        <is>
          <t>---</t>
        </is>
      </c>
      <c r="F10" t="n">
        <v>7</v>
      </c>
      <c r="G10" t="n">
        <v>1</v>
      </c>
      <c r="H10" t="n">
        <v>0.008</v>
      </c>
      <c r="I10" t="n">
        <v>0</v>
      </c>
    </row>
    <row r="11">
      <c r="C11" t="n">
        <v>0</v>
      </c>
      <c r="D11" t="n">
        <v>6</v>
      </c>
      <c r="E11" t="inlineStr">
        <is>
          <t>---</t>
        </is>
      </c>
      <c r="F11" t="n">
        <v>8</v>
      </c>
      <c r="G11" t="n">
        <v>1</v>
      </c>
      <c r="H11" t="n">
        <v>0.008</v>
      </c>
      <c r="I11" t="n">
        <v>0</v>
      </c>
    </row>
    <row r="12">
      <c r="C12" t="n">
        <v>0</v>
      </c>
      <c r="D12" t="n">
        <v>7</v>
      </c>
      <c r="E12" t="inlineStr">
        <is>
          <t>---</t>
        </is>
      </c>
      <c r="F12" t="n">
        <v>9</v>
      </c>
      <c r="G12" t="n">
        <v>1</v>
      </c>
      <c r="H12" t="n">
        <v>0.008</v>
      </c>
      <c r="I12" t="n">
        <v>0</v>
      </c>
    </row>
  </sheetData>
  <mergeCells count="1">
    <mergeCell ref="C2:I2"/>
  </mergeCells>
  <pageMargins left="0.7" right="0.7" top="0.75" bottom="0.75" header="0.3" footer="0.3"/>
  <pageSetup orientation="portrait"/>
  <tableParts count="1">
    <tablePart r:id="rId1"/>
  </tableParts>
</worksheet>
</file>

<file path=xl/worksheets/sheet4.xml><?xml version="1.0" encoding="utf-8"?>
<worksheet xmlns:r="http://schemas.openxmlformats.org/officeDocument/2006/relationships" xmlns="http://schemas.openxmlformats.org/spreadsheetml/2006/main">
  <sheetPr codeName="Sheet4">
    <outlinePr summaryBelow="1" summaryRight="1"/>
    <pageSetUpPr/>
  </sheetPr>
  <dimension ref="B2:Q6"/>
  <sheetViews>
    <sheetView workbookViewId="0">
      <selection activeCell="F9" sqref="F9"/>
    </sheetView>
  </sheetViews>
  <sheetFormatPr baseColWidth="8" defaultRowHeight="14.4"/>
  <cols>
    <col width="6" customWidth="1" min="1" max="1"/>
    <col width="11.6640625" bestFit="1" customWidth="1" min="2" max="2"/>
    <col width="9.77734375" customWidth="1" min="4" max="4"/>
    <col width="10.5546875" bestFit="1" customWidth="1" min="5" max="5"/>
    <col width="10" bestFit="1" customWidth="1" min="6" max="6"/>
    <col width="10" customWidth="1" min="7" max="8"/>
    <col width="11.44140625" customWidth="1" min="9" max="9"/>
    <col width="10.88671875" bestFit="1" customWidth="1" min="10" max="10"/>
    <col width="12.44140625" bestFit="1" customWidth="1" min="11" max="11"/>
    <col width="12" bestFit="1" customWidth="1" min="12" max="12"/>
    <col width="12.44140625" bestFit="1" customWidth="1" min="13" max="13"/>
    <col width="15.33203125" customWidth="1" min="14" max="14"/>
    <col width="14.109375" customWidth="1" min="15" max="15"/>
    <col width="14.88671875" customWidth="1" min="16" max="17"/>
  </cols>
  <sheetData>
    <row r="2" ht="21" customHeight="1">
      <c r="C2" s="17" t="inlineStr">
        <is>
          <t>Generators</t>
        </is>
      </c>
    </row>
    <row r="3" ht="58.2" customHeight="1" thickBot="1">
      <c r="B3" s="11" t="inlineStr">
        <is>
          <t>Parameter</t>
        </is>
      </c>
      <c r="C3" s="3" t="inlineStr">
        <is>
          <t>Time Step</t>
        </is>
      </c>
      <c r="D3" s="6" t="inlineStr">
        <is>
          <t>Generator Index</t>
        </is>
      </c>
      <c r="E3" s="6" t="inlineStr">
        <is>
          <t>Type</t>
        </is>
      </c>
      <c r="F3" s="6" t="inlineStr">
        <is>
          <t>Zone</t>
        </is>
      </c>
      <c r="G3" s="6" t="inlineStr">
        <is>
          <t>Bus Index</t>
        </is>
      </c>
      <c r="H3" s="6" t="inlineStr">
        <is>
          <t>Name</t>
        </is>
      </c>
      <c r="I3" s="6" t="inlineStr">
        <is>
          <t>In Service</t>
        </is>
      </c>
      <c r="J3" s="6" t="inlineStr">
        <is>
          <t>Fuel / Source</t>
        </is>
      </c>
      <c r="K3" s="6" t="inlineStr">
        <is>
          <t>Voltage Setting Point [PV bus]</t>
        </is>
      </c>
      <c r="L3" s="6" t="inlineStr">
        <is>
          <t>Maximum Active Power [MW]</t>
        </is>
      </c>
      <c r="M3" s="6" t="inlineStr">
        <is>
          <t>Maximum Reactive Power [MVAr]</t>
        </is>
      </c>
      <c r="N3" s="6" t="inlineStr">
        <is>
          <t>Minimum Active Power [MW]</t>
        </is>
      </c>
      <c r="O3" s="6" t="inlineStr">
        <is>
          <t>Minimum Reactive Power [MVAr]</t>
        </is>
      </c>
      <c r="P3" s="6" t="inlineStr">
        <is>
          <t xml:space="preserve"> Active Power [MW]</t>
        </is>
      </c>
      <c r="Q3" s="6" t="inlineStr">
        <is>
          <t xml:space="preserve"> Reactive Power [MVAr]</t>
        </is>
      </c>
    </row>
    <row r="4" ht="28.8" customFormat="1" customHeight="1" s="14">
      <c r="B4" s="6" t="inlineStr">
        <is>
          <t>Pandapower Command</t>
        </is>
      </c>
      <c r="C4" s="14" t="inlineStr">
        <is>
          <t>Step</t>
        </is>
      </c>
      <c r="D4" s="14" t="inlineStr">
        <is>
          <t>type</t>
        </is>
      </c>
      <c r="E4" s="14" t="inlineStr">
        <is>
          <t>Index</t>
        </is>
      </c>
      <c r="F4" s="14" t="inlineStr">
        <is>
          <t>zone</t>
        </is>
      </c>
      <c r="G4" s="14" t="inlineStr">
        <is>
          <t>bus</t>
        </is>
      </c>
      <c r="H4" s="14" t="inlineStr">
        <is>
          <t>name</t>
        </is>
      </c>
      <c r="I4" s="14" t="inlineStr">
        <is>
          <t>in_service</t>
        </is>
      </c>
      <c r="J4" s="14" t="inlineStr">
        <is>
          <t>fuel</t>
        </is>
      </c>
      <c r="K4" s="14" t="inlineStr">
        <is>
          <t>vm_pu</t>
        </is>
      </c>
      <c r="L4" s="14" t="inlineStr">
        <is>
          <t>max_p_mw</t>
        </is>
      </c>
      <c r="M4" s="14" t="inlineStr">
        <is>
          <t>max_q_mw</t>
        </is>
      </c>
      <c r="N4" s="14" t="inlineStr">
        <is>
          <t>min_p_mw</t>
        </is>
      </c>
      <c r="O4" s="14" t="inlineStr">
        <is>
          <t>min_q_mvar</t>
        </is>
      </c>
      <c r="P4" s="14" t="inlineStr">
        <is>
          <t xml:space="preserve">p_mw </t>
        </is>
      </c>
      <c r="Q4" s="14" t="inlineStr">
        <is>
          <t>q_mvar</t>
        </is>
      </c>
    </row>
    <row r="5">
      <c r="B5" s="11" t="n"/>
      <c r="C5" s="4" t="n">
        <v>0</v>
      </c>
      <c r="D5" s="16" t="n">
        <v>0</v>
      </c>
      <c r="E5" t="inlineStr">
        <is>
          <t>sgen</t>
        </is>
      </c>
      <c r="F5" t="inlineStr">
        <is>
          <t>---</t>
        </is>
      </c>
      <c r="G5" t="n">
        <v>2</v>
      </c>
      <c r="H5" t="inlineStr">
        <is>
          <t>gas1</t>
        </is>
      </c>
      <c r="I5" t="n">
        <v>1</v>
      </c>
      <c r="J5" t="inlineStr">
        <is>
          <t>---</t>
        </is>
      </c>
      <c r="K5" t="inlineStr">
        <is>
          <t>---</t>
        </is>
      </c>
      <c r="L5" t="inlineStr">
        <is>
          <t>---</t>
        </is>
      </c>
      <c r="M5" t="inlineStr">
        <is>
          <t>---</t>
        </is>
      </c>
      <c r="N5" t="inlineStr">
        <is>
          <t>---</t>
        </is>
      </c>
      <c r="O5" t="inlineStr">
        <is>
          <t>---</t>
        </is>
      </c>
      <c r="P5" t="n">
        <v>1</v>
      </c>
      <c r="Q5" t="n">
        <v>0</v>
      </c>
    </row>
    <row r="6">
      <c r="C6" s="5" t="n">
        <v>0</v>
      </c>
      <c r="D6" t="n">
        <v>1</v>
      </c>
      <c r="E6" t="inlineStr">
        <is>
          <t>sgen</t>
        </is>
      </c>
      <c r="F6" t="inlineStr">
        <is>
          <t>---</t>
        </is>
      </c>
      <c r="G6" t="n">
        <v>6</v>
      </c>
      <c r="H6" t="inlineStr">
        <is>
          <t>gas2</t>
        </is>
      </c>
      <c r="I6" t="n">
        <v>1</v>
      </c>
      <c r="J6" t="inlineStr">
        <is>
          <t>---</t>
        </is>
      </c>
      <c r="K6" t="inlineStr">
        <is>
          <t>---</t>
        </is>
      </c>
      <c r="L6" t="inlineStr">
        <is>
          <t>---</t>
        </is>
      </c>
      <c r="M6" t="inlineStr">
        <is>
          <t>---</t>
        </is>
      </c>
      <c r="N6" t="inlineStr">
        <is>
          <t>---</t>
        </is>
      </c>
      <c r="O6" t="inlineStr">
        <is>
          <t>---</t>
        </is>
      </c>
      <c r="P6" t="n">
        <v>1</v>
      </c>
      <c r="Q6" t="n">
        <v>0</v>
      </c>
    </row>
  </sheetData>
  <mergeCells count="1">
    <mergeCell ref="C2:Q2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:r="http://schemas.openxmlformats.org/officeDocument/2006/relationships" xmlns="http://schemas.openxmlformats.org/spreadsheetml/2006/main">
  <sheetPr codeName="Sheet7">
    <outlinePr summaryBelow="1" summaryRight="1"/>
    <pageSetUpPr/>
  </sheetPr>
  <dimension ref="B2:L14"/>
  <sheetViews>
    <sheetView workbookViewId="0">
      <selection activeCell="F13" sqref="F13"/>
    </sheetView>
  </sheetViews>
  <sheetFormatPr baseColWidth="8" defaultRowHeight="14.4"/>
  <cols>
    <col width="5" customWidth="1" min="1" max="1"/>
    <col width="11.6640625" bestFit="1" customWidth="1" min="2" max="2"/>
    <col width="9" bestFit="1" customWidth="1" min="3" max="3"/>
    <col width="10" bestFit="1" customWidth="1" min="4" max="4"/>
    <col width="9.44140625" bestFit="1" customWidth="1" min="5" max="5"/>
    <col width="10.21875" bestFit="1" customWidth="1" min="6" max="6"/>
    <col width="12.21875" bestFit="1" customWidth="1" min="7" max="7"/>
    <col width="13.77734375" bestFit="1" customWidth="1" min="8" max="8"/>
    <col width="11.33203125" bestFit="1" customWidth="1" min="9" max="9"/>
    <col width="14.21875" bestFit="1" customWidth="1" min="10" max="10"/>
    <col width="12" bestFit="1" customWidth="1" min="11" max="11"/>
    <col width="14" bestFit="1" customWidth="1" min="12" max="12"/>
  </cols>
  <sheetData>
    <row r="1" ht="15.6" customHeight="1"/>
    <row r="2" ht="21" customHeight="1">
      <c r="C2" s="17" t="inlineStr">
        <is>
          <t>Buses Parameters</t>
        </is>
      </c>
    </row>
    <row r="3" ht="29.4" customHeight="1" thickBot="1">
      <c r="B3" s="11" t="inlineStr">
        <is>
          <t>Parameter</t>
        </is>
      </c>
      <c r="C3" s="13" t="inlineStr">
        <is>
          <t>Time Step</t>
        </is>
      </c>
      <c r="D3" s="13" t="inlineStr">
        <is>
          <t>Bus Index</t>
        </is>
      </c>
      <c r="E3" s="13" t="inlineStr">
        <is>
          <t>Zone</t>
        </is>
      </c>
      <c r="F3" s="13" t="inlineStr">
        <is>
          <t>Name</t>
        </is>
      </c>
      <c r="G3" s="13" t="inlineStr">
        <is>
          <t>Voltage Level [kV]</t>
        </is>
      </c>
      <c r="H3" s="13" t="inlineStr">
        <is>
          <t>In Service</t>
        </is>
      </c>
      <c r="I3" s="13" t="inlineStr">
        <is>
          <t>Voltage [p.u]</t>
        </is>
      </c>
      <c r="J3" s="13" t="inlineStr">
        <is>
          <t>Voltage Phase [degree]</t>
        </is>
      </c>
      <c r="K3" s="13" t="inlineStr">
        <is>
          <t>Active Power [MW]</t>
        </is>
      </c>
      <c r="L3" s="13" t="inlineStr">
        <is>
          <t>Reactive Power [MVAr]</t>
        </is>
      </c>
    </row>
    <row r="4" ht="28.95" customFormat="1" customHeight="1" s="1">
      <c r="B4" s="11" t="inlineStr">
        <is>
          <t>Pandapower Command</t>
        </is>
      </c>
      <c r="C4" s="14" t="inlineStr">
        <is>
          <t>step</t>
        </is>
      </c>
      <c r="D4" s="14" t="inlineStr">
        <is>
          <t>index</t>
        </is>
      </c>
      <c r="E4" s="14" t="inlineStr">
        <is>
          <t>zone</t>
        </is>
      </c>
      <c r="F4" s="14" t="inlineStr">
        <is>
          <t>name</t>
        </is>
      </c>
      <c r="G4" s="14" t="inlineStr">
        <is>
          <t>vn_kv</t>
        </is>
      </c>
      <c r="H4" s="14" t="inlineStr">
        <is>
          <t>in_service</t>
        </is>
      </c>
      <c r="I4" s="14" t="inlineStr">
        <is>
          <t>vm_pu</t>
        </is>
      </c>
      <c r="J4" s="14" t="inlineStr">
        <is>
          <t>va_degree</t>
        </is>
      </c>
      <c r="K4" s="14" t="inlineStr">
        <is>
          <t>p_mw</t>
        </is>
      </c>
      <c r="L4" s="14" t="inlineStr">
        <is>
          <t>q_mvar</t>
        </is>
      </c>
    </row>
    <row r="5">
      <c r="B5" s="11" t="n"/>
      <c r="C5" s="4" t="n">
        <v>0</v>
      </c>
      <c r="D5" t="n">
        <v>0</v>
      </c>
      <c r="E5" t="inlineStr">
        <is>
          <t>---</t>
        </is>
      </c>
      <c r="F5" t="inlineStr">
        <is>
          <t>Trafostation_OS</t>
        </is>
      </c>
      <c r="G5" t="n">
        <v>10</v>
      </c>
      <c r="H5" t="n">
        <v>1</v>
      </c>
      <c r="I5" t="n">
        <v>1</v>
      </c>
      <c r="J5" t="n">
        <v>0</v>
      </c>
      <c r="K5" t="n">
        <v>1.19274419108799</v>
      </c>
      <c r="L5" t="n">
        <v>-0.9824080162795844</v>
      </c>
    </row>
    <row r="6">
      <c r="C6" s="5" t="n">
        <v>0</v>
      </c>
      <c r="D6" t="n">
        <v>1</v>
      </c>
      <c r="E6" t="inlineStr">
        <is>
          <t>---</t>
        </is>
      </c>
      <c r="F6" t="inlineStr">
        <is>
          <t>main_busbar</t>
        </is>
      </c>
      <c r="G6" t="n">
        <v>0.4</v>
      </c>
      <c r="H6" t="n">
        <v>1</v>
      </c>
      <c r="I6" t="n">
        <v>0.9584725418935514</v>
      </c>
      <c r="J6" t="n">
        <v>36.72143701961308</v>
      </c>
      <c r="K6" t="n">
        <v>0</v>
      </c>
      <c r="L6" t="n">
        <v>0</v>
      </c>
    </row>
    <row r="7">
      <c r="C7" t="n">
        <v>0</v>
      </c>
      <c r="D7" t="n">
        <v>2</v>
      </c>
      <c r="E7" t="inlineStr">
        <is>
          <t>---</t>
        </is>
      </c>
      <c r="F7" t="inlineStr">
        <is>
          <t>bus_1_1</t>
        </is>
      </c>
      <c r="G7" t="n">
        <v>0.4</v>
      </c>
      <c r="H7" t="n">
        <v>1</v>
      </c>
      <c r="I7" t="n">
        <v>1.121951399264923</v>
      </c>
      <c r="J7" t="n">
        <v>38.42604882874787</v>
      </c>
      <c r="K7" t="n">
        <v>-0.992</v>
      </c>
      <c r="L7" t="n">
        <v>0</v>
      </c>
    </row>
    <row r="8">
      <c r="C8" t="n">
        <v>0</v>
      </c>
      <c r="D8" t="n">
        <v>3</v>
      </c>
      <c r="E8" t="inlineStr">
        <is>
          <t>---</t>
        </is>
      </c>
      <c r="F8" t="inlineStr">
        <is>
          <t>bus_1_2</t>
        </is>
      </c>
      <c r="G8" t="n">
        <v>0.4</v>
      </c>
      <c r="H8" t="n">
        <v>1</v>
      </c>
      <c r="I8" t="n">
        <v>1.192910691017057</v>
      </c>
      <c r="J8" t="n">
        <v>39.09954416923659</v>
      </c>
      <c r="K8" t="n">
        <v>0.008000000000000007</v>
      </c>
      <c r="L8" t="n">
        <v>0</v>
      </c>
    </row>
    <row r="9">
      <c r="C9" t="n">
        <v>0</v>
      </c>
      <c r="D9" t="n">
        <v>4</v>
      </c>
      <c r="E9" t="inlineStr">
        <is>
          <t>---</t>
        </is>
      </c>
      <c r="F9" t="inlineStr">
        <is>
          <t>bus_1_3</t>
        </is>
      </c>
      <c r="G9" t="n">
        <v>0.4</v>
      </c>
      <c r="H9" t="n">
        <v>1</v>
      </c>
      <c r="I9" t="n">
        <v>1.26472299000894</v>
      </c>
      <c r="J9" t="n">
        <v>39.70198632552051</v>
      </c>
      <c r="K9" t="n">
        <v>0.008000000000000007</v>
      </c>
      <c r="L9" t="n">
        <v>0</v>
      </c>
    </row>
    <row r="10">
      <c r="C10" t="n">
        <v>0</v>
      </c>
      <c r="D10" t="n">
        <v>5</v>
      </c>
      <c r="E10" t="inlineStr">
        <is>
          <t>---</t>
        </is>
      </c>
      <c r="F10" t="inlineStr">
        <is>
          <t>bus_1_4</t>
        </is>
      </c>
      <c r="G10" t="n">
        <v>0.4</v>
      </c>
      <c r="H10" t="n">
        <v>1</v>
      </c>
      <c r="I10" t="n">
        <v>1.3373265484071</v>
      </c>
      <c r="J10" t="n">
        <v>40.24381096594006</v>
      </c>
      <c r="K10" t="n">
        <v>0.008000000000000007</v>
      </c>
      <c r="L10" t="n">
        <v>0</v>
      </c>
    </row>
    <row r="11">
      <c r="C11" t="n">
        <v>0</v>
      </c>
      <c r="D11" t="n">
        <v>6</v>
      </c>
      <c r="E11" t="inlineStr">
        <is>
          <t>---</t>
        </is>
      </c>
      <c r="F11" t="inlineStr">
        <is>
          <t>bus_1_5</t>
        </is>
      </c>
      <c r="G11" t="n">
        <v>0.4</v>
      </c>
      <c r="H11" t="n">
        <v>1</v>
      </c>
      <c r="I11" t="n">
        <v>1.410667581075434</v>
      </c>
      <c r="J11" t="n">
        <v>40.73355998661238</v>
      </c>
      <c r="K11" t="n">
        <v>-0.992</v>
      </c>
      <c r="L11" t="n">
        <v>0</v>
      </c>
    </row>
    <row r="12">
      <c r="C12" t="n">
        <v>0</v>
      </c>
      <c r="D12" t="n">
        <v>7</v>
      </c>
      <c r="E12" t="inlineStr">
        <is>
          <t>---</t>
        </is>
      </c>
      <c r="F12" t="inlineStr">
        <is>
          <t>bus_1_6</t>
        </is>
      </c>
      <c r="G12" t="n">
        <v>0.4</v>
      </c>
      <c r="H12" t="n">
        <v>1</v>
      </c>
      <c r="I12" t="n">
        <v>1.410070657570273</v>
      </c>
      <c r="J12" t="n">
        <v>40.72978374505047</v>
      </c>
      <c r="K12" t="n">
        <v>0.008000000000000007</v>
      </c>
      <c r="L12" t="n">
        <v>0</v>
      </c>
    </row>
    <row r="13">
      <c r="C13" t="n">
        <v>0</v>
      </c>
      <c r="D13" t="n">
        <v>8</v>
      </c>
      <c r="E13" t="inlineStr">
        <is>
          <t>---</t>
        </is>
      </c>
      <c r="F13" t="inlineStr">
        <is>
          <t>bus_2_1</t>
        </is>
      </c>
      <c r="G13" t="n">
        <v>0.4</v>
      </c>
      <c r="H13" t="n">
        <v>1</v>
      </c>
      <c r="I13" t="n">
        <v>0.9547100358614481</v>
      </c>
      <c r="J13" t="n">
        <v>36.68644205237509</v>
      </c>
      <c r="K13" t="n">
        <v>0.008000000000000007</v>
      </c>
      <c r="L13" t="n">
        <v>0</v>
      </c>
    </row>
    <row r="14">
      <c r="C14" t="n">
        <v>0</v>
      </c>
      <c r="D14" t="n">
        <v>9</v>
      </c>
      <c r="E14" t="inlineStr">
        <is>
          <t>---</t>
        </is>
      </c>
      <c r="F14" t="inlineStr">
        <is>
          <t>bus_2_2</t>
        </is>
      </c>
      <c r="G14" t="n">
        <v>0.4</v>
      </c>
      <c r="H14" t="n">
        <v>1</v>
      </c>
      <c r="I14" t="n">
        <v>0.9528270152486528</v>
      </c>
      <c r="J14" t="n">
        <v>36.66884089651315</v>
      </c>
      <c r="K14" t="n">
        <v>0.008000000000000007</v>
      </c>
      <c r="L14" t="n">
        <v>0</v>
      </c>
    </row>
  </sheetData>
  <mergeCells count="1">
    <mergeCell ref="C2:L2"/>
  </mergeCells>
  <pageMargins left="0.7" right="0.7" top="0.75" bottom="0.75" header="0.3" footer="0.3"/>
  <pageSetup orientation="portrait"/>
  <tableParts count="1">
    <tablePart r:id="rId1"/>
  </tableParts>
</worksheet>
</file>

<file path=xl/worksheets/sheet6.xml><?xml version="1.0" encoding="utf-8"?>
<worksheet xmlns:r="http://schemas.openxmlformats.org/officeDocument/2006/relationships" xmlns="http://schemas.openxmlformats.org/spreadsheetml/2006/main">
  <sheetPr codeName="Sheet8">
    <outlinePr summaryBelow="1" summaryRight="1"/>
    <pageSetUpPr/>
  </sheetPr>
  <dimension ref="B2:U12"/>
  <sheetViews>
    <sheetView workbookViewId="0">
      <selection activeCell="G12" sqref="G12"/>
    </sheetView>
  </sheetViews>
  <sheetFormatPr baseColWidth="8" defaultRowHeight="14.4"/>
  <cols>
    <col width="5.33203125" customWidth="1" min="1" max="1"/>
    <col width="11.6640625" bestFit="1" customWidth="1" min="2" max="2"/>
    <col width="9" bestFit="1" customWidth="1" min="3" max="3"/>
    <col width="10" bestFit="1" customWidth="1" min="4" max="4"/>
    <col width="9.44140625" bestFit="1" customWidth="1" min="5" max="5"/>
    <col width="10.21875" bestFit="1" customWidth="1" min="6" max="6"/>
    <col width="12.77734375" bestFit="1" customWidth="1" min="7" max="7"/>
    <col width="11.21875" bestFit="1" customWidth="1" min="8" max="8"/>
    <col width="12.77734375" bestFit="1" customWidth="1" min="9" max="10"/>
    <col width="12.44140625" bestFit="1" customWidth="1" min="11" max="11"/>
    <col width="15" bestFit="1" customWidth="1" min="12" max="12"/>
    <col width="11.5546875" bestFit="1" customWidth="1" min="13" max="13"/>
    <col width="12.77734375" bestFit="1" customWidth="1" min="14" max="14"/>
    <col width="12.6640625" bestFit="1" customWidth="1" min="15" max="15"/>
    <col width="17" bestFit="1" customWidth="1" min="16" max="16"/>
    <col width="13.44140625" bestFit="1" customWidth="1" min="17" max="17"/>
    <col width="14.6640625" bestFit="1" customWidth="1" min="18" max="18"/>
    <col width="12.21875" bestFit="1" customWidth="1" min="19" max="19"/>
    <col width="12.33203125" bestFit="1" customWidth="1" min="20" max="20"/>
    <col width="12.6640625" bestFit="1" customWidth="1" min="21" max="21"/>
  </cols>
  <sheetData>
    <row r="2" ht="21" customHeight="1">
      <c r="C2" s="17" t="inlineStr">
        <is>
          <t>Tranmission and Distribution Lines</t>
        </is>
      </c>
    </row>
    <row r="3" ht="43.8" customHeight="1" thickBot="1">
      <c r="B3" s="11" t="inlineStr">
        <is>
          <t>Parameter</t>
        </is>
      </c>
      <c r="C3" s="15" t="inlineStr">
        <is>
          <t>Step</t>
        </is>
      </c>
      <c r="D3" s="15" t="inlineStr">
        <is>
          <t>Line Index</t>
        </is>
      </c>
      <c r="E3" s="15" t="inlineStr">
        <is>
          <t>Zone</t>
        </is>
      </c>
      <c r="F3" s="15" t="inlineStr">
        <is>
          <t>Line Name</t>
        </is>
      </c>
      <c r="G3" s="15" t="inlineStr">
        <is>
          <t>From Bus Index</t>
        </is>
      </c>
      <c r="H3" s="15" t="inlineStr">
        <is>
          <t>To Bus Index</t>
        </is>
      </c>
      <c r="I3" s="15" t="inlineStr">
        <is>
          <t>In Service</t>
        </is>
      </c>
      <c r="J3" s="15" t="inlineStr">
        <is>
          <t>Length [km]</t>
        </is>
      </c>
      <c r="K3" s="15" t="inlineStr">
        <is>
          <t>Max Current [A]</t>
        </is>
      </c>
      <c r="L3" s="15" t="inlineStr">
        <is>
          <t>Maximum Loading [%]</t>
        </is>
      </c>
      <c r="M3" s="15" t="inlineStr">
        <is>
          <t>Number of Lines in Parallel</t>
        </is>
      </c>
      <c r="N3" s="15" t="inlineStr">
        <is>
          <t>Std. Type</t>
        </is>
      </c>
      <c r="O3" s="15" t="inlineStr">
        <is>
          <t>From Bus Act. Power [MW]</t>
        </is>
      </c>
      <c r="P3" s="15" t="inlineStr">
        <is>
          <t>From Bus React. Power [MVAr]</t>
        </is>
      </c>
      <c r="Q3" s="15" t="inlineStr">
        <is>
          <t>To Bus Act. Power [MW]</t>
        </is>
      </c>
      <c r="R3" s="15" t="inlineStr">
        <is>
          <t>To Bus Raact. Power [MVAr]</t>
        </is>
      </c>
      <c r="S3" s="15" t="inlineStr">
        <is>
          <t>Active Losses [MW]</t>
        </is>
      </c>
      <c r="T3" s="15" t="inlineStr">
        <is>
          <t>Reactive Losses [MVar]</t>
        </is>
      </c>
      <c r="U3" s="15" t="inlineStr">
        <is>
          <t>Loading  [%]</t>
        </is>
      </c>
    </row>
    <row r="4" ht="46.5" customHeight="1">
      <c r="B4" s="11" t="inlineStr">
        <is>
          <t>Pandapower Command</t>
        </is>
      </c>
      <c r="C4" s="2" t="inlineStr">
        <is>
          <t>step</t>
        </is>
      </c>
      <c r="D4" s="2" t="inlineStr">
        <is>
          <t>index</t>
        </is>
      </c>
      <c r="E4" s="2" t="inlineStr">
        <is>
          <t>zone</t>
        </is>
      </c>
      <c r="F4" s="2" t="inlineStr">
        <is>
          <t>name</t>
        </is>
      </c>
      <c r="G4" s="2" t="inlineStr">
        <is>
          <t>from_bus</t>
        </is>
      </c>
      <c r="H4" s="2" t="inlineStr">
        <is>
          <t>to_bus</t>
        </is>
      </c>
      <c r="I4" s="2" t="inlineStr">
        <is>
          <t>in_service</t>
        </is>
      </c>
      <c r="J4" s="2" t="inlineStr">
        <is>
          <t>length_km</t>
        </is>
      </c>
      <c r="K4" s="2" t="inlineStr">
        <is>
          <t>max_i_ka</t>
        </is>
      </c>
      <c r="L4" s="2" t="inlineStr">
        <is>
          <t>max_loading_percent</t>
        </is>
      </c>
      <c r="M4" s="2" t="inlineStr">
        <is>
          <t>parallel</t>
        </is>
      </c>
      <c r="N4" s="2" t="inlineStr">
        <is>
          <t>std_type</t>
        </is>
      </c>
      <c r="O4" s="2" t="inlineStr">
        <is>
          <t>p_from_mw</t>
        </is>
      </c>
      <c r="P4" s="2" t="inlineStr">
        <is>
          <t>q_from_mvar</t>
        </is>
      </c>
      <c r="Q4" s="2" t="inlineStr">
        <is>
          <t>p_to_mw</t>
        </is>
      </c>
      <c r="R4" s="2" t="inlineStr">
        <is>
          <t>q_to_mvar</t>
        </is>
      </c>
      <c r="S4" s="2" t="inlineStr">
        <is>
          <t>pl_mw</t>
        </is>
      </c>
      <c r="T4" s="2" t="inlineStr">
        <is>
          <t>ql_mvar</t>
        </is>
      </c>
      <c r="U4" s="2" t="inlineStr">
        <is>
          <t>loading_percent</t>
        </is>
      </c>
    </row>
    <row r="5">
      <c r="B5" s="11" t="n"/>
      <c r="C5" s="4" t="n">
        <v>0</v>
      </c>
      <c r="D5" t="n">
        <v>0</v>
      </c>
      <c r="E5" t="inlineStr">
        <is>
          <t>---</t>
        </is>
      </c>
      <c r="F5" t="inlineStr">
        <is>
          <t>line_1_1</t>
        </is>
      </c>
      <c r="G5" t="n">
        <v>1</v>
      </c>
      <c r="H5" t="n">
        <v>2</v>
      </c>
      <c r="I5" t="n">
        <v>1</v>
      </c>
      <c r="J5" t="n">
        <v>0.038</v>
      </c>
      <c r="K5" t="n">
        <v>0.27</v>
      </c>
      <c r="L5" t="inlineStr">
        <is>
          <t>---</t>
        </is>
      </c>
      <c r="M5" t="n">
        <v>1</v>
      </c>
      <c r="N5" t="inlineStr">
        <is>
          <t>NFA2X 4x70</t>
        </is>
      </c>
      <c r="O5" t="n">
        <v>-1.495815666892742</v>
      </c>
      <c r="P5" t="n">
        <v>0.07105353695814864</v>
      </c>
      <c r="Q5" t="n">
        <v>1.752644027784418</v>
      </c>
      <c r="R5" t="n">
        <v>-0.03105092544228927</v>
      </c>
      <c r="S5" t="n">
        <v>0.2568283608916757</v>
      </c>
      <c r="T5" t="n">
        <v>0.04000261151585938</v>
      </c>
      <c r="U5" t="n">
        <v>835.2249075206259</v>
      </c>
    </row>
    <row r="6">
      <c r="C6" s="5" t="n">
        <v>0</v>
      </c>
      <c r="D6" t="n">
        <v>1</v>
      </c>
      <c r="E6" t="inlineStr">
        <is>
          <t>---</t>
        </is>
      </c>
      <c r="F6" t="inlineStr">
        <is>
          <t>line_1_2</t>
        </is>
      </c>
      <c r="G6" t="n">
        <v>2</v>
      </c>
      <c r="H6" t="n">
        <v>3</v>
      </c>
      <c r="I6" t="n">
        <v>1</v>
      </c>
      <c r="J6" t="n">
        <v>0.038</v>
      </c>
      <c r="K6" t="n">
        <v>0.27</v>
      </c>
      <c r="L6" t="inlineStr">
        <is>
          <t>---</t>
        </is>
      </c>
      <c r="M6" t="n">
        <v>1</v>
      </c>
      <c r="N6" t="inlineStr">
        <is>
          <t>NFA2X 4x70</t>
        </is>
      </c>
      <c r="O6" t="n">
        <v>-0.7606440314121592</v>
      </c>
      <c r="P6" t="n">
        <v>0.03105092939875365</v>
      </c>
      <c r="Q6" t="n">
        <v>0.8090841605665873</v>
      </c>
      <c r="R6" t="n">
        <v>-0.02350607858237541</v>
      </c>
      <c r="S6" t="n">
        <v>0.04844012915442808</v>
      </c>
      <c r="T6" t="n">
        <v>0.007544850816378235</v>
      </c>
      <c r="U6" t="n">
        <v>362.7309332575026</v>
      </c>
    </row>
    <row r="7">
      <c r="C7" t="n">
        <v>0</v>
      </c>
      <c r="D7" t="n">
        <v>2</v>
      </c>
      <c r="E7" t="inlineStr">
        <is>
          <t>---</t>
        </is>
      </c>
      <c r="F7" t="inlineStr">
        <is>
          <t>line_1_3</t>
        </is>
      </c>
      <c r="G7" t="n">
        <v>3</v>
      </c>
      <c r="H7" t="n">
        <v>4</v>
      </c>
      <c r="I7" t="n">
        <v>1</v>
      </c>
      <c r="J7" t="n">
        <v>0.038</v>
      </c>
      <c r="K7" t="n">
        <v>0.27</v>
      </c>
      <c r="L7" t="inlineStr">
        <is>
          <t>---</t>
        </is>
      </c>
      <c r="M7" t="n">
        <v>1</v>
      </c>
      <c r="N7" t="inlineStr">
        <is>
          <t>NFA2X 4x70</t>
        </is>
      </c>
      <c r="O7" t="n">
        <v>-0.8170841606386707</v>
      </c>
      <c r="P7" t="n">
        <v>0.0235060793303995</v>
      </c>
      <c r="Q7" t="n">
        <v>0.8664861389466498</v>
      </c>
      <c r="R7" t="n">
        <v>-0.01581141453750889</v>
      </c>
      <c r="S7" t="n">
        <v>0.0494019783079791</v>
      </c>
      <c r="T7" t="n">
        <v>0.007694664792890604</v>
      </c>
      <c r="U7" t="n">
        <v>366.314506321982</v>
      </c>
    </row>
    <row r="8">
      <c r="C8" t="n">
        <v>0</v>
      </c>
      <c r="D8" t="n">
        <v>3</v>
      </c>
      <c r="E8" t="inlineStr">
        <is>
          <t>---</t>
        </is>
      </c>
      <c r="F8" t="inlineStr">
        <is>
          <t>line_1_4</t>
        </is>
      </c>
      <c r="G8" t="n">
        <v>4</v>
      </c>
      <c r="H8" t="n">
        <v>5</v>
      </c>
      <c r="I8" t="n">
        <v>1</v>
      </c>
      <c r="J8" t="n">
        <v>0.038</v>
      </c>
      <c r="K8" t="n">
        <v>0.27</v>
      </c>
      <c r="L8" t="inlineStr">
        <is>
          <t>---</t>
        </is>
      </c>
      <c r="M8" t="n">
        <v>1</v>
      </c>
      <c r="N8" t="inlineStr">
        <is>
          <t>NFA2X 4x70</t>
        </is>
      </c>
      <c r="O8" t="n">
        <v>-0.8744861389675918</v>
      </c>
      <c r="P8" t="n">
        <v>0.01581141510212797</v>
      </c>
      <c r="Q8" t="n">
        <v>0.9248042499192999</v>
      </c>
      <c r="R8" t="n">
        <v>-0.007974056962922915</v>
      </c>
      <c r="S8" t="n">
        <v>0.05031811095170813</v>
      </c>
      <c r="T8" t="n">
        <v>0.007837358139205053</v>
      </c>
      <c r="U8" t="n">
        <v>369.6954548590998</v>
      </c>
    </row>
    <row r="9">
      <c r="C9" t="n">
        <v>0</v>
      </c>
      <c r="D9" t="n">
        <v>4</v>
      </c>
      <c r="E9" t="inlineStr">
        <is>
          <t>---</t>
        </is>
      </c>
      <c r="F9" t="inlineStr">
        <is>
          <t>line_1_5</t>
        </is>
      </c>
      <c r="G9" t="n">
        <v>5</v>
      </c>
      <c r="H9" t="n">
        <v>6</v>
      </c>
      <c r="I9" t="n">
        <v>1</v>
      </c>
      <c r="J9" t="n">
        <v>0.038</v>
      </c>
      <c r="K9" t="n">
        <v>0.27</v>
      </c>
      <c r="L9" t="inlineStr">
        <is>
          <t>---</t>
        </is>
      </c>
      <c r="M9" t="n">
        <v>1</v>
      </c>
      <c r="N9" t="inlineStr">
        <is>
          <t>NFA2X 4x70</t>
        </is>
      </c>
      <c r="O9" t="n">
        <v>-0.9328042498852553</v>
      </c>
      <c r="P9" t="n">
        <v>0.007974057373140275</v>
      </c>
      <c r="Q9" t="n">
        <v>0.9839966127325251</v>
      </c>
      <c r="R9" t="n">
        <v>-5.290741297847568e-07</v>
      </c>
      <c r="S9" t="n">
        <v>0.0511923628472698</v>
      </c>
      <c r="T9" t="n">
        <v>0.007973528299010491</v>
      </c>
      <c r="U9" t="n">
        <v>372.8932609928775</v>
      </c>
    </row>
    <row r="10">
      <c r="C10" t="n">
        <v>0</v>
      </c>
      <c r="D10" t="n">
        <v>5</v>
      </c>
      <c r="E10" t="inlineStr">
        <is>
          <t>---</t>
        </is>
      </c>
      <c r="F10" t="inlineStr">
        <is>
          <t>line_1_6</t>
        </is>
      </c>
      <c r="G10" t="n">
        <v>6</v>
      </c>
      <c r="H10" t="n">
        <v>7</v>
      </c>
      <c r="I10" t="n">
        <v>1</v>
      </c>
      <c r="J10" t="n">
        <v>0.038</v>
      </c>
      <c r="K10" t="n">
        <v>0.27</v>
      </c>
      <c r="L10" t="inlineStr">
        <is>
          <t>---</t>
        </is>
      </c>
      <c r="M10" t="n">
        <v>1</v>
      </c>
      <c r="N10" t="inlineStr">
        <is>
          <t>NFA2X 4x70</t>
        </is>
      </c>
      <c r="O10" t="n">
        <v>0.008003386607367439</v>
      </c>
      <c r="P10" t="n">
        <v>5.274718704951012e-07</v>
      </c>
      <c r="Q10" t="n">
        <v>-0.007999999994432291</v>
      </c>
      <c r="R10" t="n">
        <v>1.411714755511495e-11</v>
      </c>
      <c r="S10" t="n">
        <v>3.386612935148137e-06</v>
      </c>
      <c r="T10" t="n">
        <v>5.274859876426563e-07</v>
      </c>
      <c r="U10" t="n">
        <v>3.032946352530107</v>
      </c>
    </row>
    <row r="11">
      <c r="C11" t="n">
        <v>0</v>
      </c>
      <c r="D11" t="n">
        <v>6</v>
      </c>
      <c r="E11" t="inlineStr">
        <is>
          <t>---</t>
        </is>
      </c>
      <c r="F11" t="inlineStr">
        <is>
          <t>line_2_1</t>
        </is>
      </c>
      <c r="G11" t="n">
        <v>1</v>
      </c>
      <c r="H11" t="n">
        <v>8</v>
      </c>
      <c r="I11" t="n">
        <v>1</v>
      </c>
      <c r="J11" t="n">
        <v>0.081</v>
      </c>
      <c r="K11" t="n">
        <v>0.27</v>
      </c>
      <c r="L11" t="inlineStr">
        <is>
          <t>---</t>
        </is>
      </c>
      <c r="M11" t="n">
        <v>1</v>
      </c>
      <c r="N11" t="inlineStr">
        <is>
          <t>NFA2X 4x70</t>
        </is>
      </c>
      <c r="O11" t="n">
        <v>0.01607892315594838</v>
      </c>
      <c r="P11" t="n">
        <v>1.229285220423048e-05</v>
      </c>
      <c r="Q11" t="n">
        <v>-0.01601580946426339</v>
      </c>
      <c r="R11" t="n">
        <v>-2.462502935010429e-06</v>
      </c>
      <c r="S11" t="n">
        <v>6.311369168499059e-05</v>
      </c>
      <c r="T11" t="n">
        <v>9.830349269220051e-06</v>
      </c>
      <c r="U11" t="n">
        <v>8.967946895885802</v>
      </c>
    </row>
    <row r="12">
      <c r="C12" t="n">
        <v>0</v>
      </c>
      <c r="D12" t="n">
        <v>7</v>
      </c>
      <c r="E12" t="inlineStr">
        <is>
          <t>---</t>
        </is>
      </c>
      <c r="F12" t="inlineStr">
        <is>
          <t>line_2_2</t>
        </is>
      </c>
      <c r="G12" t="n">
        <v>8</v>
      </c>
      <c r="H12" t="n">
        <v>9</v>
      </c>
      <c r="I12" t="n">
        <v>1</v>
      </c>
      <c r="J12" t="n">
        <v>0.081</v>
      </c>
      <c r="K12" t="n">
        <v>0.27</v>
      </c>
      <c r="L12" t="inlineStr">
        <is>
          <t>---</t>
        </is>
      </c>
      <c r="M12" t="n">
        <v>1</v>
      </c>
      <c r="N12" t="inlineStr">
        <is>
          <t>NFA2X 4x70</t>
        </is>
      </c>
      <c r="O12" t="n">
        <v>0.008015809526504433</v>
      </c>
      <c r="P12" t="n">
        <v>2.462473541897919e-06</v>
      </c>
      <c r="Q12" t="n">
        <v>-0.007999999936572601</v>
      </c>
      <c r="R12" t="n">
        <v>-3.176922093450774e-11</v>
      </c>
      <c r="S12" t="n">
        <v>1.580958993183113e-05</v>
      </c>
      <c r="T12" t="n">
        <v>2.462441772676984e-06</v>
      </c>
      <c r="U12" t="n">
        <v>4.488399844163315</v>
      </c>
    </row>
  </sheetData>
  <mergeCells count="1">
    <mergeCell ref="C2:U2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:r="http://schemas.openxmlformats.org/officeDocument/2006/relationships" xmlns="http://schemas.openxmlformats.org/spreadsheetml/2006/main">
  <sheetPr codeName="Sheet11">
    <outlinePr summaryBelow="1" summaryRight="1"/>
    <pageSetUpPr/>
  </sheetPr>
  <dimension ref="B2:W5"/>
  <sheetViews>
    <sheetView tabSelected="1" workbookViewId="0">
      <selection activeCell="L20" sqref="L20"/>
    </sheetView>
  </sheetViews>
  <sheetFormatPr baseColWidth="8" defaultRowHeight="14.4"/>
  <cols>
    <col width="3.77734375" customWidth="1" min="1" max="1"/>
    <col width="11.6640625" bestFit="1" customWidth="1" min="2" max="2"/>
    <col width="9" customWidth="1" min="6" max="6"/>
    <col width="11.33203125" customWidth="1" min="11" max="11"/>
    <col width="9.6640625" customWidth="1" min="12" max="12"/>
    <col width="10.6640625" customWidth="1" min="13" max="13"/>
  </cols>
  <sheetData>
    <row r="2" ht="21" customHeight="1">
      <c r="C2" s="17" t="inlineStr">
        <is>
          <t>Transformers</t>
        </is>
      </c>
    </row>
    <row r="3" ht="58.2" customHeight="1" thickBot="1">
      <c r="B3" s="11" t="inlineStr">
        <is>
          <t>Parameter</t>
        </is>
      </c>
      <c r="C3" s="13" t="inlineStr">
        <is>
          <t>Time Step</t>
        </is>
      </c>
      <c r="D3" s="13" t="inlineStr">
        <is>
          <t>Trafo Index</t>
        </is>
      </c>
      <c r="E3" s="13" t="inlineStr">
        <is>
          <t>Zone</t>
        </is>
      </c>
      <c r="F3" s="13" t="inlineStr">
        <is>
          <t>Name</t>
        </is>
      </c>
      <c r="G3" s="13" t="inlineStr">
        <is>
          <t>Std Type</t>
        </is>
      </c>
      <c r="H3" s="13" t="inlineStr">
        <is>
          <t>HV Bus Index</t>
        </is>
      </c>
      <c r="I3" s="13" t="inlineStr">
        <is>
          <t>LV Bus Index</t>
        </is>
      </c>
      <c r="J3" s="13" t="inlineStr">
        <is>
          <t>High Voltage Side [kV]</t>
        </is>
      </c>
      <c r="K3" s="13" t="inlineStr">
        <is>
          <t xml:space="preserve">Low Voltage Side [kV] </t>
        </is>
      </c>
      <c r="L3" s="13" t="inlineStr">
        <is>
          <t>FE Losses [kW]</t>
        </is>
      </c>
      <c r="M3" s="13" t="inlineStr">
        <is>
          <t>Shift Degree</t>
        </is>
      </c>
      <c r="N3" s="13" t="inlineStr">
        <is>
          <t>Tap Position</t>
        </is>
      </c>
      <c r="O3" s="13" t="inlineStr">
        <is>
          <t>Number of Trafos in Parallel</t>
        </is>
      </c>
      <c r="P3" s="13" t="inlineStr">
        <is>
          <t>In Service</t>
        </is>
      </c>
      <c r="Q3" s="13" t="inlineStr">
        <is>
          <t>HV Act. Power [MW]</t>
        </is>
      </c>
      <c r="R3" s="13" t="inlineStr">
        <is>
          <t>HV React. Power [MVAr]</t>
        </is>
      </c>
      <c r="S3" s="13" t="inlineStr">
        <is>
          <t>LV Act. Power [MW]</t>
        </is>
      </c>
      <c r="T3" s="13" t="inlineStr">
        <is>
          <t>LV React. Power [MVAr]</t>
        </is>
      </c>
      <c r="U3" s="13" t="inlineStr">
        <is>
          <t>Active Losses [MW]</t>
        </is>
      </c>
      <c r="V3" s="13" t="inlineStr">
        <is>
          <t>Reactive Losses [MVAr]</t>
        </is>
      </c>
      <c r="W3" s="13" t="inlineStr">
        <is>
          <t>Loading [%]</t>
        </is>
      </c>
    </row>
    <row r="4" ht="28.8" customHeight="1">
      <c r="B4" s="11" t="inlineStr">
        <is>
          <t>Pandapower Command</t>
        </is>
      </c>
      <c r="C4" s="14" t="inlineStr">
        <is>
          <t>step</t>
        </is>
      </c>
      <c r="D4" s="14" t="inlineStr">
        <is>
          <t>index</t>
        </is>
      </c>
      <c r="E4" s="14" t="inlineStr">
        <is>
          <t>zone</t>
        </is>
      </c>
      <c r="F4" s="14" t="inlineStr">
        <is>
          <t>name</t>
        </is>
      </c>
      <c r="G4" s="14" t="inlineStr">
        <is>
          <t>std_type</t>
        </is>
      </c>
      <c r="H4" s="14" t="inlineStr">
        <is>
          <t>hv_bus</t>
        </is>
      </c>
      <c r="I4" s="14" t="inlineStr">
        <is>
          <t>lv_bus</t>
        </is>
      </c>
      <c r="J4" s="14" t="inlineStr">
        <is>
          <t>vn_hv_kv</t>
        </is>
      </c>
      <c r="K4" s="14" t="inlineStr">
        <is>
          <t>vn_lv_kv</t>
        </is>
      </c>
      <c r="L4" s="14" t="inlineStr">
        <is>
          <t>pfe_kw</t>
        </is>
      </c>
      <c r="M4" s="14" t="inlineStr">
        <is>
          <t>shift_degree</t>
        </is>
      </c>
      <c r="N4" s="14" t="inlineStr">
        <is>
          <t>tap_pos</t>
        </is>
      </c>
      <c r="O4" s="14" t="inlineStr">
        <is>
          <t>parallel</t>
        </is>
      </c>
      <c r="P4" s="14" t="inlineStr">
        <is>
          <t>in_service</t>
        </is>
      </c>
      <c r="Q4" s="14" t="inlineStr">
        <is>
          <t>p_hv_mw</t>
        </is>
      </c>
      <c r="R4" s="14" t="inlineStr">
        <is>
          <t>q_hv_mvar</t>
        </is>
      </c>
      <c r="S4" s="14" t="inlineStr">
        <is>
          <t>p_lv_mw</t>
        </is>
      </c>
      <c r="T4" s="14" t="inlineStr">
        <is>
          <t>q_lv_mvar</t>
        </is>
      </c>
      <c r="U4" s="14" t="inlineStr">
        <is>
          <t>pl_mw</t>
        </is>
      </c>
      <c r="V4" s="14" t="inlineStr">
        <is>
          <t>ql_mvar</t>
        </is>
      </c>
      <c r="W4" s="6" t="inlineStr">
        <is>
          <t>loading_percent</t>
        </is>
      </c>
    </row>
    <row r="5">
      <c r="B5" s="11" t="n"/>
      <c r="C5" s="4" t="n">
        <v>0</v>
      </c>
      <c r="D5" t="n">
        <v>0</v>
      </c>
      <c r="E5" t="inlineStr">
        <is>
          <t>---</t>
        </is>
      </c>
      <c r="F5" t="inlineStr">
        <is>
          <t>trafo 1</t>
        </is>
      </c>
      <c r="G5" t="inlineStr">
        <is>
          <t>0.1 MVA 10/0.4 kV</t>
        </is>
      </c>
      <c r="H5" t="n">
        <v>0</v>
      </c>
      <c r="I5" t="n">
        <v>1</v>
      </c>
      <c r="J5" t="n">
        <v>10</v>
      </c>
      <c r="K5" t="n">
        <v>0.4</v>
      </c>
      <c r="L5" t="n">
        <v>0.45</v>
      </c>
      <c r="M5" t="n">
        <v>150</v>
      </c>
      <c r="N5" t="inlineStr">
        <is>
          <t>---</t>
        </is>
      </c>
      <c r="O5" t="n">
        <v>1</v>
      </c>
      <c r="P5" t="n">
        <v>1</v>
      </c>
      <c r="Q5" t="n">
        <v>-1.192744185692655</v>
      </c>
      <c r="R5" t="n">
        <v>0.9824080073027732</v>
      </c>
      <c r="S5" t="n">
        <v>1.479736742557052</v>
      </c>
      <c r="T5" t="n">
        <v>-0.07106582486356194</v>
      </c>
      <c r="U5" t="n">
        <v>0.2869925568643974</v>
      </c>
      <c r="V5" t="n">
        <v>0.9113421824392113</v>
      </c>
      <c r="W5" s="12" t="n">
        <v>1545.62827654782</v>
      </c>
    </row>
  </sheetData>
  <mergeCells count="1">
    <mergeCell ref="C2:W2"/>
  </mergeCells>
  <pageMargins left="0.7" right="0.7" top="0.75" bottom="0.75" header="0.3" footer="0.3"/>
  <pageSetup orientation="portrait"/>
  <tableParts count="1">
    <tablePart r:id="rId1"/>
  </tableParts>
</worksheet>
</file>

<file path=xl/worksheets/sheet8.xml><?xml version="1.0" encoding="utf-8"?>
<worksheet xmlns="http://schemas.openxmlformats.org/spreadsheetml/2006/main">
  <sheetPr codeName="Sheet12">
    <outlinePr summaryBelow="1" summaryRight="1"/>
    <pageSetUpPr/>
  </sheetPr>
  <dimension ref="A1:B16"/>
  <sheetViews>
    <sheetView topLeftCell="A37" workbookViewId="0">
      <selection activeCell="B52" sqref="B52"/>
    </sheetView>
  </sheetViews>
  <sheetFormatPr baseColWidth="8" defaultRowHeight="14.4"/>
  <cols>
    <col width="17.44140625" bestFit="1" customWidth="1" min="1" max="1"/>
    <col width="25.5546875" bestFit="1" customWidth="1" min="2" max="2"/>
  </cols>
  <sheetData>
    <row r="1">
      <c r="A1" s="7" t="inlineStr">
        <is>
          <t>Zone</t>
        </is>
      </c>
      <c r="B1" t="inlineStr">
        <is>
          <t>(All)</t>
        </is>
      </c>
    </row>
    <row r="2">
      <c r="A2" s="7" t="inlineStr">
        <is>
          <t>Voltage Level [kV]</t>
        </is>
      </c>
      <c r="B2" t="inlineStr">
        <is>
          <t>(All)</t>
        </is>
      </c>
    </row>
    <row r="4">
      <c r="A4" s="7" t="inlineStr">
        <is>
          <t>Row Labels</t>
        </is>
      </c>
      <c r="B4" t="inlineStr">
        <is>
          <t>Sum of Active Power [MW]</t>
        </is>
      </c>
    </row>
    <row r="5">
      <c r="A5" s="8" t="n">
        <v>0</v>
      </c>
      <c r="B5" t="n">
        <v>1000</v>
      </c>
    </row>
    <row r="6">
      <c r="A6" s="8" t="n">
        <v>1</v>
      </c>
      <c r="B6" t="n">
        <v>1100</v>
      </c>
    </row>
    <row r="7">
      <c r="A7" s="8" t="n">
        <v>2</v>
      </c>
      <c r="B7" t="n">
        <v>1210</v>
      </c>
    </row>
    <row r="8">
      <c r="A8" s="8" t="n">
        <v>3</v>
      </c>
      <c r="B8" t="n">
        <v>1331</v>
      </c>
    </row>
    <row r="9">
      <c r="A9" s="8" t="n">
        <v>4</v>
      </c>
      <c r="B9" t="n">
        <v>1464.100000000001</v>
      </c>
    </row>
    <row r="10">
      <c r="A10" s="8" t="n">
        <v>5</v>
      </c>
      <c r="B10" t="n">
        <v>1610.510000000001</v>
      </c>
    </row>
    <row r="11">
      <c r="A11" s="8" t="n">
        <v>6</v>
      </c>
      <c r="B11" t="n">
        <v>1771.561000000001</v>
      </c>
    </row>
    <row r="12">
      <c r="A12" s="8" t="n">
        <v>7</v>
      </c>
      <c r="B12" t="n">
        <v>1948.717100000001</v>
      </c>
    </row>
    <row r="13">
      <c r="A13" s="8" t="n">
        <v>8</v>
      </c>
      <c r="B13" t="n">
        <v>2143.588810000002</v>
      </c>
    </row>
    <row r="14">
      <c r="A14" s="8" t="n">
        <v>9</v>
      </c>
      <c r="B14" t="n">
        <v>2357.947691000002</v>
      </c>
    </row>
    <row r="15">
      <c r="A15" s="8" t="n">
        <v>10</v>
      </c>
      <c r="B15" t="n">
        <v>2593.742460100002</v>
      </c>
    </row>
    <row r="16">
      <c r="A16" s="8" t="inlineStr">
        <is>
          <t>Grand Total</t>
        </is>
      </c>
      <c r="B16" t="n">
        <v>18531.16706110001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5">
    <outlinePr summaryBelow="1" summaryRight="1"/>
    <pageSetUpPr/>
  </sheetPr>
  <dimension ref="B1:I17"/>
  <sheetViews>
    <sheetView workbookViewId="0">
      <selection activeCell="B3" sqref="B3"/>
    </sheetView>
  </sheetViews>
  <sheetFormatPr baseColWidth="8" defaultRowHeight="14.4"/>
  <cols>
    <col width="26" bestFit="1" customWidth="1" min="2" max="2"/>
    <col width="16.33203125" bestFit="1" customWidth="1" min="3" max="3"/>
    <col width="12.44140625" bestFit="1" customWidth="1" min="4" max="4"/>
    <col width="17.44140625" bestFit="1" customWidth="1" min="5" max="5"/>
    <col width="12.44140625" bestFit="1" customWidth="1" min="6" max="6"/>
    <col width="13.33203125" bestFit="1" customWidth="1" min="7" max="7"/>
    <col width="12.44140625" bestFit="1" customWidth="1" min="8" max="9"/>
  </cols>
  <sheetData>
    <row r="1">
      <c r="B1" s="7" t="inlineStr">
        <is>
          <t>Zone</t>
        </is>
      </c>
      <c r="C1" t="inlineStr">
        <is>
          <t>(All)</t>
        </is>
      </c>
      <c r="E1" s="7" t="inlineStr">
        <is>
          <t>Voltage Level [kV]</t>
        </is>
      </c>
      <c r="F1" t="inlineStr">
        <is>
          <t>(All)</t>
        </is>
      </c>
    </row>
    <row r="3">
      <c r="B3" s="7" t="inlineStr">
        <is>
          <t>Sum of  Active Power [MW]</t>
        </is>
      </c>
      <c r="C3" s="7" t="inlineStr">
        <is>
          <t>Column Labels</t>
        </is>
      </c>
    </row>
    <row r="4">
      <c r="C4" t="inlineStr">
        <is>
          <t>Coal</t>
        </is>
      </c>
      <c r="D4" t="inlineStr">
        <is>
          <t>Coal Total</t>
        </is>
      </c>
      <c r="E4" t="inlineStr">
        <is>
          <t>NG</t>
        </is>
      </c>
      <c r="F4" t="inlineStr">
        <is>
          <t>NG Total</t>
        </is>
      </c>
      <c r="G4" t="inlineStr">
        <is>
          <t>Wind</t>
        </is>
      </c>
      <c r="H4" t="inlineStr">
        <is>
          <t>Wind Total</t>
        </is>
      </c>
      <c r="I4" t="inlineStr">
        <is>
          <t>Grand Total</t>
        </is>
      </c>
    </row>
    <row r="5">
      <c r="B5" s="7" t="inlineStr">
        <is>
          <t>Row Labels</t>
        </is>
      </c>
      <c r="C5" t="inlineStr">
        <is>
          <t>Steam Turbine</t>
        </is>
      </c>
      <c r="E5" t="inlineStr">
        <is>
          <t>Gas Turbine</t>
        </is>
      </c>
      <c r="G5" t="inlineStr">
        <is>
          <t>Wind Turbine</t>
        </is>
      </c>
    </row>
    <row r="6">
      <c r="B6" s="8" t="n">
        <v>0</v>
      </c>
      <c r="C6" t="n">
        <v>40</v>
      </c>
      <c r="D6" t="n">
        <v>40</v>
      </c>
      <c r="E6" t="n">
        <v>323.49</v>
      </c>
      <c r="F6" t="n">
        <v>323.49</v>
      </c>
      <c r="G6" t="n">
        <v>466.51</v>
      </c>
      <c r="H6" t="n">
        <v>466.51</v>
      </c>
      <c r="I6" t="n">
        <v>830</v>
      </c>
    </row>
    <row r="7">
      <c r="B7" s="8" t="n">
        <v>1</v>
      </c>
      <c r="C7" t="n">
        <v>44</v>
      </c>
      <c r="D7" t="n">
        <v>44</v>
      </c>
      <c r="E7" t="n">
        <v>355.8390000000001</v>
      </c>
      <c r="F7" t="n">
        <v>355.8390000000001</v>
      </c>
      <c r="G7" t="n">
        <v>513.1610000000001</v>
      </c>
      <c r="H7" t="n">
        <v>513.1610000000001</v>
      </c>
      <c r="I7" t="n">
        <v>913.0000000000001</v>
      </c>
    </row>
    <row r="8">
      <c r="B8" s="8" t="n">
        <v>2</v>
      </c>
      <c r="C8" t="n">
        <v>48.40000000000001</v>
      </c>
      <c r="D8" t="n">
        <v>48.40000000000001</v>
      </c>
      <c r="E8" t="n">
        <v>391.4229000000001</v>
      </c>
      <c r="F8" t="n">
        <v>391.4229000000001</v>
      </c>
      <c r="G8" t="n">
        <v>564.4771000000001</v>
      </c>
      <c r="H8" t="n">
        <v>564.4771000000001</v>
      </c>
      <c r="I8" t="n">
        <v>1004.3</v>
      </c>
    </row>
    <row r="9">
      <c r="B9" s="8" t="n">
        <v>3</v>
      </c>
      <c r="C9" t="n">
        <v>53.24000000000001</v>
      </c>
      <c r="D9" t="n">
        <v>53.24000000000001</v>
      </c>
      <c r="E9" t="n">
        <v>430.5651900000001</v>
      </c>
      <c r="F9" t="n">
        <v>430.5651900000001</v>
      </c>
      <c r="G9" t="n">
        <v>620.9248100000001</v>
      </c>
      <c r="H9" t="n">
        <v>620.9248100000001</v>
      </c>
      <c r="I9" t="n">
        <v>1104.73</v>
      </c>
    </row>
    <row r="10">
      <c r="B10" s="8" t="n">
        <v>4</v>
      </c>
      <c r="C10" t="n">
        <v>58.56400000000001</v>
      </c>
      <c r="D10" t="n">
        <v>58.56400000000001</v>
      </c>
      <c r="E10" t="n">
        <v>473.6217090000002</v>
      </c>
      <c r="F10" t="n">
        <v>473.6217090000002</v>
      </c>
      <c r="G10" t="n">
        <v>683.0172910000001</v>
      </c>
      <c r="H10" t="n">
        <v>683.0172910000001</v>
      </c>
      <c r="I10" t="n">
        <v>1215.203</v>
      </c>
    </row>
    <row r="11">
      <c r="B11" s="8" t="n">
        <v>5</v>
      </c>
      <c r="C11" t="n">
        <v>64.42040000000001</v>
      </c>
      <c r="D11" t="n">
        <v>64.42040000000001</v>
      </c>
      <c r="E11" t="n">
        <v>520.9838799000003</v>
      </c>
      <c r="F11" t="n">
        <v>520.9838799000003</v>
      </c>
      <c r="G11" t="n">
        <v>751.3190201000002</v>
      </c>
      <c r="H11" t="n">
        <v>751.3190201000002</v>
      </c>
      <c r="I11" t="n">
        <v>1336.723300000001</v>
      </c>
    </row>
    <row r="12">
      <c r="B12" s="8" t="n">
        <v>6</v>
      </c>
      <c r="C12" t="n">
        <v>70.86244000000002</v>
      </c>
      <c r="D12" t="n">
        <v>70.86244000000002</v>
      </c>
      <c r="E12" t="n">
        <v>573.0822678900004</v>
      </c>
      <c r="F12" t="n">
        <v>573.0822678900004</v>
      </c>
      <c r="G12" t="n">
        <v>826.4509221100003</v>
      </c>
      <c r="H12" t="n">
        <v>826.4509221100003</v>
      </c>
      <c r="I12" t="n">
        <v>1470.395630000001</v>
      </c>
    </row>
    <row r="13">
      <c r="B13" s="8" t="n">
        <v>7</v>
      </c>
      <c r="C13" t="n">
        <v>77.94868400000003</v>
      </c>
      <c r="D13" t="n">
        <v>77.94868400000003</v>
      </c>
      <c r="E13" t="n">
        <v>630.3904946790004</v>
      </c>
      <c r="F13" t="n">
        <v>630.3904946790004</v>
      </c>
      <c r="G13" t="n">
        <v>909.0960143210004</v>
      </c>
      <c r="H13" t="n">
        <v>909.0960143210004</v>
      </c>
      <c r="I13" t="n">
        <v>1617.435193000001</v>
      </c>
    </row>
    <row r="14">
      <c r="B14" s="8" t="n">
        <v>8</v>
      </c>
      <c r="C14" t="n">
        <v>85.74355240000004</v>
      </c>
      <c r="D14" t="n">
        <v>85.74355240000004</v>
      </c>
      <c r="E14" t="n">
        <v>693.4295441469005</v>
      </c>
      <c r="F14" t="n">
        <v>693.4295441469005</v>
      </c>
      <c r="G14" t="n">
        <v>1000.005615753101</v>
      </c>
      <c r="H14" t="n">
        <v>1000.005615753101</v>
      </c>
      <c r="I14" t="n">
        <v>1779.178712300001</v>
      </c>
    </row>
    <row r="15">
      <c r="B15" s="8" t="n">
        <v>9</v>
      </c>
      <c r="C15" t="n">
        <v>94.31790764000006</v>
      </c>
      <c r="D15" t="n">
        <v>94.31790764000006</v>
      </c>
      <c r="E15" t="n">
        <v>762.7724985615906</v>
      </c>
      <c r="F15" t="n">
        <v>762.7724985615906</v>
      </c>
      <c r="G15" t="n">
        <v>1100.006177328411</v>
      </c>
      <c r="H15" t="n">
        <v>1100.006177328411</v>
      </c>
      <c r="I15" t="n">
        <v>1957.096583530001</v>
      </c>
    </row>
    <row r="16">
      <c r="B16" s="8" t="n">
        <v>10</v>
      </c>
      <c r="C16" t="n">
        <v>103.7496984040001</v>
      </c>
      <c r="D16" t="n">
        <v>103.7496984040001</v>
      </c>
      <c r="E16" t="n">
        <v>839.0497484177497</v>
      </c>
      <c r="F16" t="n">
        <v>839.0497484177497</v>
      </c>
      <c r="G16" t="n">
        <v>1210.006795061252</v>
      </c>
      <c r="H16" t="n">
        <v>1210.006795061252</v>
      </c>
      <c r="I16" t="n">
        <v>2152.806241883001</v>
      </c>
    </row>
    <row r="17">
      <c r="B17" s="8" t="inlineStr">
        <is>
          <t>Grand Total</t>
        </is>
      </c>
      <c r="C17" t="n">
        <v>741.2466824440003</v>
      </c>
      <c r="D17" t="n">
        <v>741.2466824440003</v>
      </c>
      <c r="E17" t="n">
        <v>5994.647232595242</v>
      </c>
      <c r="F17" t="n">
        <v>5994.647232595242</v>
      </c>
      <c r="G17" t="n">
        <v>8644.974745673764</v>
      </c>
      <c r="H17" t="n">
        <v>8644.974745673764</v>
      </c>
      <c r="I17" t="n">
        <v>15380.86866071301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6">
    <outlinePr summaryBelow="1" summaryRight="1"/>
    <pageSetUpPr/>
  </sheetPr>
  <dimension ref="A3:B13"/>
  <sheetViews>
    <sheetView workbookViewId="0">
      <selection activeCell="A1" sqref="A1"/>
    </sheetView>
  </sheetViews>
  <sheetFormatPr baseColWidth="8" defaultRowHeight="14.4"/>
  <cols>
    <col width="17.6640625" bestFit="1" customWidth="1" min="1" max="1"/>
    <col width="26" bestFit="1" customWidth="1" min="2" max="2"/>
    <col width="24.109375" bestFit="1" customWidth="1" min="3" max="3"/>
    <col width="11.33203125" bestFit="1" customWidth="1" min="4" max="5"/>
    <col width="15.109375" bestFit="1" customWidth="1" min="6" max="6"/>
    <col width="18.33203125" bestFit="1" customWidth="1" min="7" max="7"/>
    <col width="11.33203125" bestFit="1" customWidth="1" min="8" max="9"/>
  </cols>
  <sheetData>
    <row r="3">
      <c r="A3" s="7" t="inlineStr">
        <is>
          <t>Row Labels</t>
        </is>
      </c>
      <c r="B3" t="inlineStr">
        <is>
          <t>Sum of  Active Power [MW]</t>
        </is>
      </c>
    </row>
    <row r="4">
      <c r="A4" s="8" t="inlineStr">
        <is>
          <t>Coal</t>
        </is>
      </c>
      <c r="B4" t="n">
        <v>741.2466824440003</v>
      </c>
    </row>
    <row r="5">
      <c r="A5" s="9" t="inlineStr">
        <is>
          <t>Steam Turbine</t>
        </is>
      </c>
      <c r="B5" t="n">
        <v>741.2466824440003</v>
      </c>
    </row>
    <row r="6">
      <c r="A6" s="10" t="n">
        <v>230</v>
      </c>
      <c r="B6" t="n">
        <v>741.2466824440003</v>
      </c>
    </row>
    <row r="7">
      <c r="A7" s="8" t="inlineStr">
        <is>
          <t>NG</t>
        </is>
      </c>
      <c r="B7" t="n">
        <v>5994.647232595242</v>
      </c>
    </row>
    <row r="8">
      <c r="A8" s="9" t="inlineStr">
        <is>
          <t>Gas Turbine</t>
        </is>
      </c>
      <c r="B8" t="n">
        <v>5994.647232595242</v>
      </c>
    </row>
    <row r="9">
      <c r="A9" s="10" t="n">
        <v>230</v>
      </c>
      <c r="B9" t="n">
        <v>5994.647232595242</v>
      </c>
    </row>
    <row r="10">
      <c r="A10" s="8" t="inlineStr">
        <is>
          <t>Wind</t>
        </is>
      </c>
      <c r="B10" t="n">
        <v>8644.974745673764</v>
      </c>
    </row>
    <row r="11">
      <c r="A11" s="9" t="inlineStr">
        <is>
          <t>Wind Turbine</t>
        </is>
      </c>
      <c r="B11" t="n">
        <v>8644.974745673764</v>
      </c>
    </row>
    <row r="12">
      <c r="A12" s="10" t="n">
        <v>110</v>
      </c>
      <c r="B12" t="n">
        <v>8644.974745673764</v>
      </c>
    </row>
    <row r="13">
      <c r="A13" s="8" t="inlineStr">
        <is>
          <t>Grand Total</t>
        </is>
      </c>
      <c r="B13" t="n">
        <v>15380.86866071301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3">
    <outlinePr summaryBelow="1" summaryRight="1"/>
    <pageSetUpPr/>
  </sheetPr>
  <dimension ref="A1:B10"/>
  <sheetViews>
    <sheetView topLeftCell="U17" workbookViewId="0">
      <selection activeCell="AF32" sqref="AF32"/>
    </sheetView>
  </sheetViews>
  <sheetFormatPr baseColWidth="8" defaultRowHeight="14.4"/>
  <cols>
    <col width="13.109375" bestFit="1" customWidth="1" min="1" max="1"/>
    <col width="19.44140625" bestFit="1" customWidth="1" min="2" max="2"/>
  </cols>
  <sheetData>
    <row r="1">
      <c r="A1" s="7" t="inlineStr">
        <is>
          <t>Step</t>
        </is>
      </c>
      <c r="B1" s="8" t="n">
        <v>0</v>
      </c>
    </row>
    <row r="2">
      <c r="A2" s="7" t="inlineStr">
        <is>
          <t>Zone</t>
        </is>
      </c>
      <c r="B2" t="inlineStr">
        <is>
          <t>(All)</t>
        </is>
      </c>
    </row>
    <row r="4">
      <c r="A4" s="7" t="inlineStr">
        <is>
          <t>Row Labels</t>
        </is>
      </c>
      <c r="B4" t="inlineStr">
        <is>
          <t>Sum of Voltage [p.u]</t>
        </is>
      </c>
    </row>
    <row r="5">
      <c r="A5" s="8" t="n">
        <v>0</v>
      </c>
      <c r="B5" t="n">
        <v>0.9999999999999999</v>
      </c>
    </row>
    <row r="6">
      <c r="A6" s="8" t="n">
        <v>1</v>
      </c>
      <c r="B6" t="n">
        <v>0.9892612371179855</v>
      </c>
    </row>
    <row r="7">
      <c r="A7" s="8" t="n">
        <v>2</v>
      </c>
      <c r="B7" t="n">
        <v>1</v>
      </c>
    </row>
    <row r="8">
      <c r="A8" s="8" t="n">
        <v>3</v>
      </c>
      <c r="B8" t="n">
        <v>1</v>
      </c>
    </row>
    <row r="9">
      <c r="A9" s="8" t="n">
        <v>4</v>
      </c>
      <c r="B9" t="n">
        <v>0.9999999999999999</v>
      </c>
    </row>
    <row r="10">
      <c r="A10" s="8" t="inlineStr">
        <is>
          <t>Grand Total</t>
        </is>
      </c>
      <c r="B10" t="n">
        <v>4.989261237117986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9">
    <outlinePr summaryBelow="1" summaryRight="1"/>
    <pageSetUpPr/>
  </sheetPr>
  <dimension ref="A1:D16"/>
  <sheetViews>
    <sheetView workbookViewId="0">
      <selection activeCell="A1" sqref="A1"/>
    </sheetView>
  </sheetViews>
  <sheetFormatPr baseColWidth="8" defaultRowHeight="14.4"/>
  <cols>
    <col width="17.44140625" bestFit="1" customWidth="1" min="1" max="1"/>
    <col width="25.6640625" bestFit="1" customWidth="1" min="2" max="2"/>
    <col width="29.109375" bestFit="1" customWidth="1" min="3" max="3"/>
    <col width="26.44140625" bestFit="1" customWidth="1" min="4" max="4"/>
    <col width="25.6640625" bestFit="1" customWidth="1" min="5" max="5"/>
    <col width="29.109375" bestFit="1" customWidth="1" min="6" max="6"/>
    <col width="26.44140625" bestFit="1" customWidth="1" min="7" max="7"/>
    <col width="30.6640625" bestFit="1" customWidth="1" min="8" max="8"/>
    <col width="34.33203125" bestFit="1" customWidth="1" min="9" max="9"/>
    <col width="31.44140625" bestFit="1" customWidth="1" min="10" max="10"/>
    <col width="30.6640625" bestFit="1" customWidth="1" min="11" max="11"/>
    <col width="34.33203125" bestFit="1" customWidth="1" min="12" max="12"/>
    <col width="31.44140625" bestFit="1" customWidth="1" min="13" max="13"/>
  </cols>
  <sheetData>
    <row r="1">
      <c r="A1" s="7" t="inlineStr">
        <is>
          <t>Zone</t>
        </is>
      </c>
      <c r="B1" t="inlineStr">
        <is>
          <t>(All)</t>
        </is>
      </c>
    </row>
    <row r="2">
      <c r="A2" s="7" t="inlineStr">
        <is>
          <t>Voltage Level [kV]</t>
        </is>
      </c>
      <c r="B2" t="inlineStr">
        <is>
          <t>(All)</t>
        </is>
      </c>
    </row>
    <row r="4">
      <c r="A4" s="7" t="inlineStr">
        <is>
          <t>Row Labels</t>
        </is>
      </c>
      <c r="B4" t="inlineStr">
        <is>
          <t>Max of Loading Percent [%]</t>
        </is>
      </c>
      <c r="C4" t="inlineStr">
        <is>
          <t>Average of Loading Percent [%]</t>
        </is>
      </c>
      <c r="D4" t="inlineStr">
        <is>
          <t>Min of Loading Percent [%]2</t>
        </is>
      </c>
    </row>
    <row r="5">
      <c r="A5" s="8" t="n">
        <v>0</v>
      </c>
      <c r="B5" t="n">
        <v>100.1731638810112</v>
      </c>
      <c r="C5" t="n">
        <v>27.14337412240021</v>
      </c>
      <c r="D5" t="n">
        <v>7.234050190158276e-05</v>
      </c>
    </row>
    <row r="6">
      <c r="A6" s="8" t="n">
        <v>1</v>
      </c>
      <c r="B6" t="n">
        <v>110.1904802691123</v>
      </c>
      <c r="C6" t="n">
        <v>29.85771153464023</v>
      </c>
      <c r="D6" t="n">
        <v>7.957455209174104e-05</v>
      </c>
    </row>
    <row r="7">
      <c r="A7" s="8" t="n">
        <v>2</v>
      </c>
      <c r="B7" t="n">
        <v>121.2095282960236</v>
      </c>
      <c r="C7" t="n">
        <v>32.84348268810426</v>
      </c>
      <c r="D7" t="n">
        <v>8.753200730091515e-05</v>
      </c>
    </row>
    <row r="8">
      <c r="A8" s="8" t="n">
        <v>3</v>
      </c>
      <c r="B8" t="n">
        <v>133.330481125626</v>
      </c>
      <c r="C8" t="n">
        <v>36.12783095691469</v>
      </c>
      <c r="D8" t="n">
        <v>9.628520803100668e-05</v>
      </c>
    </row>
    <row r="9">
      <c r="A9" s="8" t="n">
        <v>4</v>
      </c>
      <c r="B9" t="n">
        <v>146.6635292381886</v>
      </c>
      <c r="C9" t="n">
        <v>39.74061405260616</v>
      </c>
      <c r="D9" t="n">
        <v>0.0001059137288341074</v>
      </c>
    </row>
    <row r="10">
      <c r="A10" s="8" t="n">
        <v>5</v>
      </c>
      <c r="B10" t="n">
        <v>161.3298821620074</v>
      </c>
      <c r="C10" t="n">
        <v>43.71467545786678</v>
      </c>
      <c r="D10" t="n">
        <v>0.0001165051017175181</v>
      </c>
    </row>
    <row r="11">
      <c r="A11" s="8" t="n">
        <v>6</v>
      </c>
      <c r="B11" t="n">
        <v>177.4628703782082</v>
      </c>
      <c r="C11" t="n">
        <v>48.08614300365347</v>
      </c>
      <c r="D11" t="n">
        <v>0.0001281556118892699</v>
      </c>
    </row>
    <row r="12">
      <c r="A12" s="8" t="n">
        <v>7</v>
      </c>
      <c r="B12" t="n">
        <v>195.2091574160291</v>
      </c>
      <c r="C12" t="n">
        <v>52.89475730401882</v>
      </c>
      <c r="D12" t="n">
        <v>0.0001409711730781969</v>
      </c>
    </row>
    <row r="13">
      <c r="A13" s="8" t="n">
        <v>8</v>
      </c>
      <c r="B13" t="n">
        <v>214.730073157632</v>
      </c>
      <c r="C13" t="n">
        <v>58.18423303442071</v>
      </c>
      <c r="D13" t="n">
        <v>0.0001550682903860166</v>
      </c>
    </row>
    <row r="14">
      <c r="A14" s="8" t="n">
        <v>9</v>
      </c>
      <c r="B14" t="n">
        <v>236.2030804733952</v>
      </c>
      <c r="C14" t="n">
        <v>64.00265633786279</v>
      </c>
      <c r="D14" t="n">
        <v>0.0001705751194246183</v>
      </c>
    </row>
    <row r="15">
      <c r="A15" s="8" t="n">
        <v>10</v>
      </c>
      <c r="B15" t="n">
        <v>259.8233885207347</v>
      </c>
      <c r="C15" t="n">
        <v>70.40292197164906</v>
      </c>
      <c r="D15" t="n">
        <v>0.0001876326313670801</v>
      </c>
    </row>
    <row r="16">
      <c r="A16" s="8" t="inlineStr">
        <is>
          <t>Grand Total</t>
        </is>
      </c>
      <c r="B16" t="n">
        <v>259.8233885207347</v>
      </c>
      <c r="C16" t="n">
        <v>45.72712731492156</v>
      </c>
      <c r="D16" t="n">
        <v>7.234050190158276e-05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0">
    <outlinePr summaryBelow="1" summaryRight="1"/>
    <pageSetUpPr/>
  </sheetPr>
  <dimension ref="A1:B16"/>
  <sheetViews>
    <sheetView workbookViewId="0">
      <selection activeCell="A1" sqref="A1"/>
    </sheetView>
  </sheetViews>
  <sheetFormatPr baseColWidth="8" defaultRowHeight="14.4"/>
  <cols>
    <col width="16.88671875" bestFit="1" customWidth="1" min="1" max="1"/>
    <col width="18.6640625" bestFit="1" customWidth="1" min="2" max="2"/>
    <col width="12.44140625" bestFit="1" customWidth="1" min="3" max="5"/>
    <col width="20.6640625" bestFit="1" customWidth="1" min="6" max="6"/>
    <col width="21.88671875" bestFit="1" customWidth="1" min="7" max="7"/>
    <col width="24.33203125" bestFit="1" customWidth="1" min="8" max="8"/>
    <col width="25.33203125" bestFit="1" customWidth="1" min="9" max="9"/>
  </cols>
  <sheetData>
    <row r="1">
      <c r="A1" s="7" t="inlineStr">
        <is>
          <t>Zone</t>
        </is>
      </c>
      <c r="B1" t="inlineStr">
        <is>
          <t>(All)</t>
        </is>
      </c>
    </row>
    <row r="2">
      <c r="A2" s="7" t="inlineStr">
        <is>
          <t>Voltage Level [kV]</t>
        </is>
      </c>
      <c r="B2" t="inlineStr">
        <is>
          <t>(All)</t>
        </is>
      </c>
    </row>
    <row r="4">
      <c r="A4" s="7" t="inlineStr">
        <is>
          <t>Row Labels</t>
        </is>
      </c>
      <c r="B4" t="inlineStr">
        <is>
          <t>Sum of Losses [MW]</t>
        </is>
      </c>
    </row>
    <row r="5">
      <c r="A5" s="8" t="n">
        <v>0</v>
      </c>
      <c r="B5" t="n">
        <v>5.027180043283985</v>
      </c>
    </row>
    <row r="6">
      <c r="A6" s="8" t="n">
        <v>1</v>
      </c>
      <c r="B6" t="n">
        <v>5.529898047612384</v>
      </c>
    </row>
    <row r="7">
      <c r="A7" s="8" t="n">
        <v>2</v>
      </c>
      <c r="B7" t="n">
        <v>6.082887852373622</v>
      </c>
    </row>
    <row r="8">
      <c r="A8" s="8" t="n">
        <v>3</v>
      </c>
      <c r="B8" t="n">
        <v>6.691176637610985</v>
      </c>
    </row>
    <row r="9">
      <c r="A9" s="8" t="n">
        <v>4</v>
      </c>
      <c r="B9" t="n">
        <v>7.360294301372084</v>
      </c>
    </row>
    <row r="10">
      <c r="A10" s="8" t="n">
        <v>5</v>
      </c>
      <c r="B10" t="n">
        <v>8.096323731509294</v>
      </c>
    </row>
    <row r="11">
      <c r="A11" s="8" t="n">
        <v>6</v>
      </c>
      <c r="B11" t="n">
        <v>8.905956104660223</v>
      </c>
    </row>
    <row r="12">
      <c r="A12" s="8" t="n">
        <v>7</v>
      </c>
      <c r="B12" t="n">
        <v>9.796551715126247</v>
      </c>
    </row>
    <row r="13">
      <c r="A13" s="8" t="n">
        <v>8</v>
      </c>
      <c r="B13" t="n">
        <v>10.77620688663887</v>
      </c>
    </row>
    <row r="14">
      <c r="A14" s="8" t="n">
        <v>9</v>
      </c>
      <c r="B14" t="n">
        <v>11.85382757530276</v>
      </c>
    </row>
    <row r="15">
      <c r="A15" s="8" t="n">
        <v>10</v>
      </c>
      <c r="B15" t="n">
        <v>13.03921033283304</v>
      </c>
    </row>
    <row r="16">
      <c r="A16" s="8" t="inlineStr">
        <is>
          <t>Grand Total</t>
        </is>
      </c>
      <c r="B16" t="n">
        <v>93.15951322832349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>
  <sheetPr codeName="Sheet14">
    <outlinePr summaryBelow="1" summaryRight="1"/>
    <pageSetUpPr/>
  </sheetPr>
  <dimension ref="A2:D18"/>
  <sheetViews>
    <sheetView workbookViewId="0">
      <selection activeCell="A4" sqref="A4"/>
    </sheetView>
  </sheetViews>
  <sheetFormatPr baseColWidth="8" defaultRowHeight="14.4"/>
  <cols>
    <col width="19.33203125" bestFit="1" customWidth="1" min="1" max="1"/>
    <col width="16.33203125" bestFit="1" customWidth="1" min="2" max="2"/>
    <col width="12.44140625" bestFit="1" customWidth="1" min="3" max="4"/>
  </cols>
  <sheetData>
    <row r="2">
      <c r="A2" s="7" t="inlineStr">
        <is>
          <t>Zone</t>
        </is>
      </c>
      <c r="B2" t="inlineStr">
        <is>
          <t>(All)</t>
        </is>
      </c>
    </row>
    <row r="4">
      <c r="A4" s="7" t="inlineStr">
        <is>
          <t>Sum of Losses [MW]</t>
        </is>
      </c>
      <c r="B4" s="7" t="inlineStr">
        <is>
          <t>Column Labels</t>
        </is>
      </c>
    </row>
    <row r="5">
      <c r="B5" t="n">
        <v>10</v>
      </c>
      <c r="C5" t="inlineStr">
        <is>
          <t>10 Total</t>
        </is>
      </c>
      <c r="D5" t="inlineStr">
        <is>
          <t>Grand Total</t>
        </is>
      </c>
    </row>
    <row r="6">
      <c r="A6" s="7" t="inlineStr">
        <is>
          <t>Row Labels</t>
        </is>
      </c>
      <c r="B6" t="n">
        <v>0.4</v>
      </c>
    </row>
    <row r="7">
      <c r="A7" s="8" t="n">
        <v>0</v>
      </c>
      <c r="B7" t="n">
        <v>0.004240566305308572</v>
      </c>
      <c r="C7" t="n">
        <v>0.004240566305308572</v>
      </c>
      <c r="D7" t="n">
        <v>0.004240566305308572</v>
      </c>
    </row>
    <row r="8">
      <c r="A8" s="8" t="n">
        <v>1</v>
      </c>
      <c r="B8" t="n">
        <v>0.00706761050884762</v>
      </c>
      <c r="C8" t="n">
        <v>0.00706761050884762</v>
      </c>
      <c r="D8" t="n">
        <v>0.00706761050884762</v>
      </c>
    </row>
    <row r="9">
      <c r="A9" s="8" t="n">
        <v>2</v>
      </c>
      <c r="B9" t="n">
        <v>0.00706761050884762</v>
      </c>
      <c r="C9" t="n">
        <v>0.00706761050884762</v>
      </c>
      <c r="D9" t="n">
        <v>0.00706761050884762</v>
      </c>
    </row>
    <row r="10">
      <c r="A10" s="8" t="n">
        <v>3</v>
      </c>
      <c r="B10" t="n">
        <v>0.008481132610617144</v>
      </c>
      <c r="C10" t="n">
        <v>0.008481132610617144</v>
      </c>
      <c r="D10" t="n">
        <v>0.008481132610617144</v>
      </c>
    </row>
    <row r="11">
      <c r="A11" s="8" t="n">
        <v>4</v>
      </c>
      <c r="B11" t="n">
        <v>0.01017735913274057</v>
      </c>
      <c r="C11" t="n">
        <v>0.01017735913274057</v>
      </c>
      <c r="D11" t="n">
        <v>0.01017735913274057</v>
      </c>
    </row>
    <row r="12">
      <c r="A12" s="8" t="n">
        <v>5</v>
      </c>
      <c r="B12" t="n">
        <v>0.01221283095928868</v>
      </c>
      <c r="C12" t="n">
        <v>0.01221283095928868</v>
      </c>
      <c r="D12" t="n">
        <v>0.01221283095928868</v>
      </c>
    </row>
    <row r="13">
      <c r="A13" s="8" t="n">
        <v>6</v>
      </c>
      <c r="B13" t="n">
        <v>0.01465539715114642</v>
      </c>
      <c r="C13" t="n">
        <v>0.01465539715114642</v>
      </c>
      <c r="D13" t="n">
        <v>0.01465539715114642</v>
      </c>
    </row>
    <row r="14">
      <c r="A14" s="8" t="n">
        <v>7</v>
      </c>
      <c r="B14" t="n">
        <v>0.0175864765813757</v>
      </c>
      <c r="C14" t="n">
        <v>0.0175864765813757</v>
      </c>
      <c r="D14" t="n">
        <v>0.0175864765813757</v>
      </c>
    </row>
    <row r="15">
      <c r="A15" s="8" t="n">
        <v>8</v>
      </c>
      <c r="B15" t="n">
        <v>0.02110377189765084</v>
      </c>
      <c r="C15" t="n">
        <v>0.02110377189765084</v>
      </c>
      <c r="D15" t="n">
        <v>0.02110377189765084</v>
      </c>
    </row>
    <row r="16">
      <c r="A16" s="8" t="n">
        <v>9</v>
      </c>
      <c r="B16" t="n">
        <v>0.02532452627718101</v>
      </c>
      <c r="C16" t="n">
        <v>0.02532452627718101</v>
      </c>
      <c r="D16" t="n">
        <v>0.02532452627718101</v>
      </c>
    </row>
    <row r="17">
      <c r="A17" s="8" t="n">
        <v>10</v>
      </c>
      <c r="B17" t="n">
        <v>0.03038943153261721</v>
      </c>
      <c r="C17" t="n">
        <v>0.03038943153261721</v>
      </c>
      <c r="D17" t="n">
        <v>0.03038943153261721</v>
      </c>
    </row>
    <row r="18">
      <c r="A18" s="8" t="inlineStr">
        <is>
          <t>Grand Total</t>
        </is>
      </c>
      <c r="B18" t="n">
        <v>0.1583067134656214</v>
      </c>
      <c r="C18" t="n">
        <v>0.1583067134656214</v>
      </c>
      <c r="D18" t="n">
        <v>0.1583067134656214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>
  <sheetPr codeName="Sheet15">
    <outlinePr summaryBelow="1" summaryRight="1"/>
    <pageSetUpPr/>
  </sheetPr>
  <dimension ref="A2:J19"/>
  <sheetViews>
    <sheetView workbookViewId="0">
      <selection activeCell="I29" sqref="I29"/>
    </sheetView>
  </sheetViews>
  <sheetFormatPr baseColWidth="8" defaultRowHeight="14.4"/>
  <cols>
    <col width="13.109375" bestFit="1" customWidth="1" min="1" max="1"/>
    <col width="25.6640625" bestFit="1" customWidth="1" min="2" max="2"/>
    <col width="12" bestFit="1" customWidth="1" min="3" max="3"/>
    <col width="30.33203125" bestFit="1" customWidth="1" min="4" max="4"/>
    <col width="12" bestFit="1" customWidth="1" min="5" max="5"/>
    <col width="26.44140625" bestFit="1" customWidth="1" min="6" max="6"/>
    <col width="12" bestFit="1" customWidth="1" min="7" max="7"/>
    <col width="30.6640625" bestFit="1" customWidth="1" min="8" max="8"/>
    <col width="35.33203125" bestFit="1" customWidth="1" min="9" max="9"/>
    <col width="31.44140625" bestFit="1" customWidth="1" min="10" max="10"/>
  </cols>
  <sheetData>
    <row r="2">
      <c r="A2" s="7" t="inlineStr">
        <is>
          <t>Zone</t>
        </is>
      </c>
      <c r="B2" t="inlineStr">
        <is>
          <t>(All)</t>
        </is>
      </c>
    </row>
    <row r="4">
      <c r="B4" s="7" t="inlineStr">
        <is>
          <t>Column Labels</t>
        </is>
      </c>
    </row>
    <row r="5">
      <c r="B5" t="inlineStr">
        <is>
          <t>Max of Loading Percent [%]</t>
        </is>
      </c>
      <c r="D5" t="inlineStr">
        <is>
          <t>Average of Loading Percent [%]2</t>
        </is>
      </c>
      <c r="F5" t="inlineStr">
        <is>
          <t>Min of Loading Percent [%]3</t>
        </is>
      </c>
      <c r="H5" t="inlineStr">
        <is>
          <t>Total Max of Loading Percent [%]</t>
        </is>
      </c>
      <c r="I5" t="inlineStr">
        <is>
          <t>Total Average of Loading Percent [%]2</t>
        </is>
      </c>
      <c r="J5" t="inlineStr">
        <is>
          <t>Total Min of Loading Percent [%]3</t>
        </is>
      </c>
    </row>
    <row r="6">
      <c r="B6" t="n">
        <v>10</v>
      </c>
      <c r="C6" t="inlineStr">
        <is>
          <t>10 Total</t>
        </is>
      </c>
      <c r="D6" t="n">
        <v>10</v>
      </c>
      <c r="E6" t="inlineStr">
        <is>
          <t>10 Total</t>
        </is>
      </c>
      <c r="F6" t="n">
        <v>10</v>
      </c>
      <c r="G6" t="inlineStr">
        <is>
          <t>10 Total</t>
        </is>
      </c>
    </row>
    <row r="7">
      <c r="A7" s="7" t="inlineStr">
        <is>
          <t>Row Labels</t>
        </is>
      </c>
      <c r="B7" t="n">
        <v>0.4</v>
      </c>
      <c r="D7" t="n">
        <v>0.4</v>
      </c>
      <c r="F7" t="n">
        <v>0.4</v>
      </c>
    </row>
    <row r="8">
      <c r="A8" s="8" t="n">
        <v>0</v>
      </c>
      <c r="B8" t="n">
        <v>52.42563832807324</v>
      </c>
      <c r="C8" t="n">
        <v>52.42563832807324</v>
      </c>
      <c r="D8" t="n">
        <v>52.42563832807324</v>
      </c>
      <c r="E8" t="n">
        <v>52.42563832807324</v>
      </c>
      <c r="F8" t="n">
        <v>52.42563832807324</v>
      </c>
      <c r="G8" t="n">
        <v>52.42563832807324</v>
      </c>
      <c r="H8" t="n">
        <v>52.42563832807324</v>
      </c>
      <c r="I8" t="n">
        <v>52.42563832807324</v>
      </c>
      <c r="J8" t="n">
        <v>52.42563832807324</v>
      </c>
    </row>
    <row r="9">
      <c r="A9" s="8" t="n">
        <v>1</v>
      </c>
      <c r="B9" t="n">
        <v>52.42563832807324</v>
      </c>
      <c r="C9" t="n">
        <v>52.42563832807324</v>
      </c>
      <c r="D9" t="n">
        <v>52.42563832807324</v>
      </c>
      <c r="E9" t="n">
        <v>52.42563832807324</v>
      </c>
      <c r="F9" t="n">
        <v>52.42563832807324</v>
      </c>
      <c r="G9" t="n">
        <v>52.42563832807324</v>
      </c>
      <c r="H9" t="n">
        <v>52.42563832807324</v>
      </c>
      <c r="I9" t="n">
        <v>52.42563832807324</v>
      </c>
      <c r="J9" t="n">
        <v>52.42563832807324</v>
      </c>
    </row>
    <row r="10">
      <c r="A10" s="8" t="n">
        <v>2</v>
      </c>
      <c r="B10" t="n">
        <v>52.42563832807324</v>
      </c>
      <c r="C10" t="n">
        <v>52.42563832807324</v>
      </c>
      <c r="D10" t="n">
        <v>52.42563832807324</v>
      </c>
      <c r="E10" t="n">
        <v>52.42563832807324</v>
      </c>
      <c r="F10" t="n">
        <v>52.42563832807324</v>
      </c>
      <c r="G10" t="n">
        <v>52.42563832807324</v>
      </c>
      <c r="H10" t="n">
        <v>52.42563832807324</v>
      </c>
      <c r="I10" t="n">
        <v>52.42563832807324</v>
      </c>
      <c r="J10" t="n">
        <v>52.42563832807324</v>
      </c>
    </row>
    <row r="11">
      <c r="A11" s="8" t="n">
        <v>3</v>
      </c>
      <c r="B11" t="n">
        <v>56.4256383280732</v>
      </c>
      <c r="C11" t="n">
        <v>56.4256383280732</v>
      </c>
      <c r="D11" t="n">
        <v>54.42563832807321</v>
      </c>
      <c r="E11" t="n">
        <v>54.42563832807321</v>
      </c>
      <c r="F11" t="n">
        <v>52.42563832807324</v>
      </c>
      <c r="G11" t="n">
        <v>52.42563832807324</v>
      </c>
      <c r="H11" t="n">
        <v>56.4256383280732</v>
      </c>
      <c r="I11" t="n">
        <v>54.42563832807321</v>
      </c>
      <c r="J11" t="n">
        <v>52.42563832807324</v>
      </c>
    </row>
    <row r="12">
      <c r="A12" s="8" t="n">
        <v>4</v>
      </c>
      <c r="B12" t="n">
        <v>61.4256383280732</v>
      </c>
      <c r="C12" t="n">
        <v>61.4256383280732</v>
      </c>
      <c r="D12" t="n">
        <v>59.42563832807319</v>
      </c>
      <c r="E12" t="n">
        <v>59.42563832807319</v>
      </c>
      <c r="F12" t="n">
        <v>57.4256383280732</v>
      </c>
      <c r="G12" t="n">
        <v>57.4256383280732</v>
      </c>
      <c r="H12" t="n">
        <v>61.4256383280732</v>
      </c>
      <c r="I12" t="n">
        <v>59.42563832807319</v>
      </c>
      <c r="J12" t="n">
        <v>57.4256383280732</v>
      </c>
    </row>
    <row r="13">
      <c r="A13" s="8" t="n">
        <v>5</v>
      </c>
      <c r="B13" t="n">
        <v>66.42563832807321</v>
      </c>
      <c r="C13" t="n">
        <v>66.42563832807321</v>
      </c>
      <c r="D13" t="n">
        <v>64.42563832807321</v>
      </c>
      <c r="E13" t="n">
        <v>64.42563832807321</v>
      </c>
      <c r="F13" t="n">
        <v>62.4256383280732</v>
      </c>
      <c r="G13" t="n">
        <v>62.4256383280732</v>
      </c>
      <c r="H13" t="n">
        <v>66.42563832807321</v>
      </c>
      <c r="I13" t="n">
        <v>64.42563832807321</v>
      </c>
      <c r="J13" t="n">
        <v>62.4256383280732</v>
      </c>
    </row>
    <row r="14">
      <c r="A14" s="8" t="n">
        <v>6</v>
      </c>
      <c r="B14" t="n">
        <v>71.42563832807321</v>
      </c>
      <c r="C14" t="n">
        <v>71.42563832807321</v>
      </c>
      <c r="D14" t="n">
        <v>69.42563832807321</v>
      </c>
      <c r="E14" t="n">
        <v>69.42563832807321</v>
      </c>
      <c r="F14" t="n">
        <v>67.42563832807321</v>
      </c>
      <c r="G14" t="n">
        <v>67.42563832807321</v>
      </c>
      <c r="H14" t="n">
        <v>71.42563832807321</v>
      </c>
      <c r="I14" t="n">
        <v>69.42563832807321</v>
      </c>
      <c r="J14" t="n">
        <v>67.42563832807321</v>
      </c>
    </row>
    <row r="15">
      <c r="A15" s="8" t="n">
        <v>7</v>
      </c>
      <c r="B15" t="n">
        <v>76.42563832807321</v>
      </c>
      <c r="C15" t="n">
        <v>76.42563832807321</v>
      </c>
      <c r="D15" t="n">
        <v>74.42563832807321</v>
      </c>
      <c r="E15" t="n">
        <v>74.42563832807321</v>
      </c>
      <c r="F15" t="n">
        <v>72.42563832807321</v>
      </c>
      <c r="G15" t="n">
        <v>72.42563832807321</v>
      </c>
      <c r="H15" t="n">
        <v>76.42563832807321</v>
      </c>
      <c r="I15" t="n">
        <v>74.42563832807321</v>
      </c>
      <c r="J15" t="n">
        <v>72.42563832807321</v>
      </c>
    </row>
    <row r="16">
      <c r="A16" s="8" t="n">
        <v>8</v>
      </c>
      <c r="B16" t="n">
        <v>81.42563832807321</v>
      </c>
      <c r="C16" t="n">
        <v>81.42563832807321</v>
      </c>
      <c r="D16" t="n">
        <v>79.42563832807321</v>
      </c>
      <c r="E16" t="n">
        <v>79.42563832807321</v>
      </c>
      <c r="F16" t="n">
        <v>77.42563832807321</v>
      </c>
      <c r="G16" t="n">
        <v>77.42563832807321</v>
      </c>
      <c r="H16" t="n">
        <v>81.42563832807321</v>
      </c>
      <c r="I16" t="n">
        <v>79.42563832807321</v>
      </c>
      <c r="J16" t="n">
        <v>77.42563832807321</v>
      </c>
    </row>
    <row r="17">
      <c r="A17" s="8" t="n">
        <v>9</v>
      </c>
      <c r="B17" t="n">
        <v>86.42563832807321</v>
      </c>
      <c r="C17" t="n">
        <v>86.42563832807321</v>
      </c>
      <c r="D17" t="n">
        <v>84.42563832807321</v>
      </c>
      <c r="E17" t="n">
        <v>84.42563832807321</v>
      </c>
      <c r="F17" t="n">
        <v>82.42563832807321</v>
      </c>
      <c r="G17" t="n">
        <v>82.42563832807321</v>
      </c>
      <c r="H17" t="n">
        <v>86.42563832807321</v>
      </c>
      <c r="I17" t="n">
        <v>84.42563832807321</v>
      </c>
      <c r="J17" t="n">
        <v>82.42563832807321</v>
      </c>
    </row>
    <row r="18">
      <c r="A18" s="8" t="n">
        <v>10</v>
      </c>
      <c r="B18" t="n">
        <v>91.42563832807321</v>
      </c>
      <c r="C18" t="n">
        <v>91.42563832807321</v>
      </c>
      <c r="D18" t="n">
        <v>89.42563832807321</v>
      </c>
      <c r="E18" t="n">
        <v>89.42563832807321</v>
      </c>
      <c r="F18" t="n">
        <v>87.42563832807321</v>
      </c>
      <c r="G18" t="n">
        <v>87.42563832807321</v>
      </c>
      <c r="H18" t="n">
        <v>91.42563832807321</v>
      </c>
      <c r="I18" t="n">
        <v>89.42563832807321</v>
      </c>
      <c r="J18" t="n">
        <v>87.42563832807321</v>
      </c>
    </row>
    <row r="19">
      <c r="A19" s="8" t="inlineStr">
        <is>
          <t>Grand Total</t>
        </is>
      </c>
      <c r="B19" t="n">
        <v>91.42563832807321</v>
      </c>
      <c r="C19" t="n">
        <v>91.42563832807321</v>
      </c>
      <c r="D19" t="n">
        <v>67.14261946014861</v>
      </c>
      <c r="E19" t="n">
        <v>67.14261946014868</v>
      </c>
      <c r="F19" t="n">
        <v>52.42563832807324</v>
      </c>
      <c r="G19" t="n">
        <v>52.42563832807324</v>
      </c>
      <c r="H19" t="n">
        <v>91.42563832807321</v>
      </c>
      <c r="I19" t="n">
        <v>67.14261946014868</v>
      </c>
      <c r="J19" t="n">
        <v>52.42563832807324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Martin Oviedo</dc:creator>
  <dcterms:created xsi:type="dcterms:W3CDTF">2022-11-16T19:56:03Z</dcterms:created>
  <dcterms:modified xsi:type="dcterms:W3CDTF">2023-01-10T22:58:08Z</dcterms:modified>
  <cp:lastModifiedBy>Martin Oviedo</cp:lastModifiedBy>
</cp:coreProperties>
</file>