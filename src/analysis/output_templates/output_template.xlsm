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953C0824-0020-4F7D-863B-E091958C3A54}" xr6:coauthVersionLast="47" xr6:coauthVersionMax="47" xr10:uidLastSave="{00000000-0000-0000-0000-000000000000}"/>
  <bookViews>
    <workbookView xWindow="-120" yWindow="-120" windowWidth="38640" windowHeight="21120" tabRatio="799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ata" sheetId="17" r:id="rId8"/>
    <sheet name="Demand01" sheetId="16" state="hidden" r:id="rId9"/>
    <sheet name="Gen01" sheetId="9" state="hidden" r:id="rId10"/>
    <sheet name="Gen02" sheetId="10" state="hidden" r:id="rId11"/>
    <sheet name="bus01" sheetId="15" state="hidden" r:id="rId12"/>
    <sheet name="Lines01" sheetId="11" state="hidden" r:id="rId13"/>
    <sheet name="Lines02" sheetId="12" state="hidden" r:id="rId14"/>
    <sheet name="Trafos02" sheetId="13" state="hidden" r:id="rId15"/>
    <sheet name="Trafos01" sheetId="14" state="hidden" r:id="rId16"/>
  </sheets>
  <definedNames>
    <definedName name="_xlnm._FilterDatabase" localSheetId="4" hidden="1">Buses!$D$4:$L$4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<sst xmlns="http://schemas.openxmlformats.org/spreadsheetml/2006/main" count="251" uniqueCount="120">
  <si>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</si>
  <si>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</si>
  <si>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</si>
  <si>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</si>
  <si>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</si>
  <si>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</si>
  <si>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</si>
  <si>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</si>
  <si>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</si>
  <si>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</si>
  <si>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</si>
  <si>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</si>
  <si>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</si>
  <si>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</si>
  <si>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</si>
  <si>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</si>
  <si>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</si>
  <si>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</si>
  <si>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</si>
  <si>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</si>
  <si>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</si>
  <si>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</si>
  <si>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</si>
  <si>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</si>
  <si>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</si>
  <si>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</si>
  <si>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</si>
  <si>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</si>
  <si>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</si>
  <si>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</si>
  <si>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</si>
  <si>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</si>
  <si>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</si>
  <si>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</si>
  <si>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</si>
  <si>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</si>
  <si>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</si>
  <si>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</si>
  <si>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</si>
  <si>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</si>
  <si>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</si>
  <si>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</si>
  <si>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</si>
  <si>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</si>
  <si>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</si>
  <si>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</si>
  <si>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</si>
  <si>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</si>
  <si>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</si>
  <si>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</si>
  <si>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</si>
  <si>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</si>
  <si>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</si>
  <si>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</si>
  <si>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</si>
  <si>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</si>
  <si>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</si>
  <si>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</si>
  <si>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</si>
  <si>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</si>
  <si>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</si>
  <si>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</si>
  <si>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</si>
  <si>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</si>
  <si>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</si>
  <si>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</si>
  <si>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</si>
  <si>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</si>
  <si>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</si>
  <si>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</si>
  <si>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</si>
  <si>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</si>
  <si>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</si>
  <si>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</si>
  <si>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</si>
  <si>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</si>
  <si>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</si>
  <si>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</si>
  <si>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</si>
  <si>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</si>
  <si>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</si>
  <si>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</si>
  <si>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</si>
  <si>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</si>
  <si>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</si>
  <si>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</si>
  <si>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</si>
  <si>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</si>
  <si>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</si>
  <si>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</si>
  <si>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</si>
  <si>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</si>
  <si>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</si>
  <si>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</si>
  <si>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</si>
  <si>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</si>
  <si>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</si>
  <si>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</si>
  <si>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</si>
  <si>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</si>
  <si>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</si>
  <si>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</si>
  <si>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</si>
  <si>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</si>
  <si>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</si>
  <si>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</si>
  <si>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</si>
  <si>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</si>
  <si>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</si>
  <si>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</si>
  <si>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</si>
  <si>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</si>
  <si>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</si>
  <si>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</si>
  <si>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</si>
  <si>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</si>
  <si>
    <t>(blank)</t>
  </si>
  <si>
    <t>Scenario Name</t>
  </si>
  <si>
    <t>scenario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</si>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</sst>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Lines02!$A$7:$A$8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Lines02!$B$7:$B$8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Trafos02!$B$6:$B$7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invertIfNegative val="0"/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'bus01'!$B$6:$B$7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Demand01!$B$6:$B$7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3</xdr:row>
          <xdr:rowOff>19050</xdr:rowOff>
        </xdr:from>
        <xdr:to>
          <xdr:col>4</xdr:col>
          <xdr:colOff>600075</xdr:colOff>
          <xdr:row>6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9525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4</xdr:col>
          <xdr:colOff>571500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57150</xdr:rowOff>
        </xdr:from>
        <xdr:to>
          <xdr:col>4</xdr:col>
          <xdr:colOff>571500</xdr:colOff>
          <xdr:row>8</xdr:row>
          <xdr:rowOff>28575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199876</xdr:colOff>
      <xdr:row>42</xdr:row>
      <xdr:rowOff>33618</xdr:rowOff>
    </xdr:from>
    <xdr:to>
      <xdr:col>16</xdr:col>
      <xdr:colOff>59914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87264</xdr:colOff>
      <xdr:row>42</xdr:row>
      <xdr:rowOff>41414</xdr:rowOff>
    </xdr:from>
    <xdr:to>
      <xdr:col>23</xdr:col>
      <xdr:colOff>441010</xdr:colOff>
      <xdr:row>54</xdr:row>
      <xdr:rowOff>172242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98001</xdr:colOff>
      <xdr:row>55</xdr:row>
      <xdr:rowOff>77474</xdr:rowOff>
    </xdr:from>
    <xdr:to>
      <xdr:col>23</xdr:col>
      <xdr:colOff>440541</xdr:colOff>
      <xdr:row>68</xdr:row>
      <xdr:rowOff>141514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216643</xdr:colOff>
      <xdr:row>55</xdr:row>
      <xdr:rowOff>69303</xdr:rowOff>
    </xdr:from>
    <xdr:to>
      <xdr:col>16</xdr:col>
      <xdr:colOff>67380</xdr:colOff>
      <xdr:row>68</xdr:row>
      <xdr:rowOff>145677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190500</xdr:colOff>
      <xdr:row>69</xdr:row>
      <xdr:rowOff>6180</xdr:rowOff>
    </xdr:from>
    <xdr:to>
      <xdr:col>23</xdr:col>
      <xdr:colOff>431046</xdr:colOff>
      <xdr:row>84</xdr:row>
      <xdr:rowOff>179294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190500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59375003" createdVersion="8" refreshedVersion="8" minRefreshableVersion="3" recordCount="1" xr:uid="{FD2DEA7C-01DB-41E3-9168-1201B46ACFCF}">
  <cacheSource type="worksheet">
    <worksheetSource name="Demand"/>
  </cacheSource>
  <cacheFields count="9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name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0763889" createdVersion="8" refreshedVersion="8" minRefreshableVersion="3" recordCount="1" xr:uid="{B39AD0D5-320F-4CDE-AAEA-6154DD2D13D1}">
  <cacheSource type="worksheet">
    <worksheetSource name="Generation"/>
  </cacheSource>
  <cacheFields count="16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type" numFmtId="0">
      <sharedItems containsNonDate="0" containsString="0" containsBlank="1"/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fuel" numFmtId="0">
      <sharedItems containsNonDate="0" containsBlank="1" count="5">
        <m/>
        <s v="Wind" u="1"/>
        <s v="---" u="1"/>
        <s v="Coal" u="1"/>
        <s v="NG" u="1"/>
      </sharedItems>
    </cacheField>
    <cacheField name="vm_pu" numFmtId="0">
      <sharedItems containsNonDate="0" containsString="0" containsBlank="1"/>
    </cacheField>
    <cacheField name="max_p_mw" numFmtId="0">
      <sharedItems containsNonDate="0" containsString="0" containsBlank="1"/>
    </cacheField>
    <cacheField name="max_q_mw" numFmtId="0">
      <sharedItems containsNonDate="0" containsString="0" containsBlank="1"/>
    </cacheField>
    <cacheField name="min_p_mw" numFmtId="0">
      <sharedItems containsNonDate="0" containsString="0" containsBlank="1"/>
    </cacheField>
    <cacheField name="min_q_mvar" numFmtId="0">
      <sharedItems containsNonDate="0" containsString="0" containsBlank="1"/>
    </cacheField>
    <cacheField name="p_mw 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2847221" createdVersion="8" refreshedVersion="8" minRefreshableVersion="3" recordCount="1" xr:uid="{31659242-2421-4528-918B-0B0964891456}">
  <cacheSource type="worksheet">
    <worksheetSource name="Lines"/>
  </cacheSource>
  <cacheFields count="20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from_bus" numFmtId="0">
      <sharedItems containsNonDate="0" containsString="0" containsBlank="1"/>
    </cacheField>
    <cacheField name="to_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length_km" numFmtId="0">
      <sharedItems containsNonDate="0" containsString="0" containsBlank="1"/>
    </cacheField>
    <cacheField name="max_i_ka" numFmtId="0">
      <sharedItems containsNonDate="0" containsString="0" containsBlank="1"/>
    </cacheField>
    <cacheField name="max_loading_percent" numFmtId="0">
      <sharedItems containsNonDate="0" containsString="0" containsBlank="1"/>
    </cacheField>
    <cacheField name="parallel" numFmtId="0">
      <sharedItems containsNonDate="0" containsString="0" containsBlank="1"/>
    </cacheField>
    <cacheField name="std_type" numFmtId="0">
      <sharedItems containsNonDate="0" containsString="0" containsBlank="1"/>
    </cacheField>
    <cacheField name="p_from_mw" numFmtId="0">
      <sharedItems containsNonDate="0" containsString="0" containsBlank="1"/>
    </cacheField>
    <cacheField name="q_from_mvar" numFmtId="0">
      <sharedItems containsNonDate="0" containsString="0" containsBlank="1"/>
    </cacheField>
    <cacheField name="p_to_mw" numFmtId="0">
      <sharedItems containsNonDate="0" containsString="0" containsBlank="1"/>
    </cacheField>
    <cacheField name="q_to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4351853" createdVersion="8" refreshedVersion="8" minRefreshableVersion="3" recordCount="1" xr:uid="{94605D9B-A09C-43DF-8117-38A3B979163A}">
  <cacheSource type="worksheet">
    <worksheetSource name="Trafos"/>
  </cacheSource>
  <cacheFields count="22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Blank="1" count="2">
        <m/>
        <s v="---" u="1"/>
      </sharedItems>
    </cacheField>
    <cacheField name="name" numFmtId="0">
      <sharedItems containsNonDate="0" containsString="0" containsBlank="1"/>
    </cacheField>
    <cacheField name="std_type" numFmtId="0">
      <sharedItems containsNonDate="0" containsString="0" containsBlank="1"/>
    </cacheField>
    <cacheField name="hv_bus" numFmtId="0">
      <sharedItems containsNonDate="0" containsString="0" containsBlank="1"/>
    </cacheField>
    <cacheField name="lv_bus" numFmtId="0">
      <sharedItems containsNonDate="0" containsString="0" containsBlank="1"/>
    </cacheField>
    <cacheField name="vn_hv_kv" numFmtId="0">
      <sharedItems containsNonDate="0" containsString="0" containsBlank="1"/>
    </cacheField>
    <cacheField name="vn_lv_kv" numFmtId="0">
      <sharedItems containsNonDate="0" containsString="0" containsBlank="1"/>
    </cacheField>
    <cacheField name="pfe_kw" numFmtId="0">
      <sharedItems containsNonDate="0" containsString="0" containsBlank="1"/>
    </cacheField>
    <cacheField name="shift_degree" numFmtId="0">
      <sharedItems containsNonDate="0" containsString="0" containsBlank="1"/>
    </cacheField>
    <cacheField name="tap_pos" numFmtId="0">
      <sharedItems containsNonDate="0" containsString="0" containsBlank="1"/>
    </cacheField>
    <cacheField name="parallel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hv_mw" numFmtId="0">
      <sharedItems containsNonDate="0" containsString="0" containsBlank="1"/>
    </cacheField>
    <cacheField name="q_hv_mvar" numFmtId="0">
      <sharedItems containsNonDate="0" containsString="0" containsBlank="1"/>
    </cacheField>
    <cacheField name="p_lv_mw" numFmtId="0">
      <sharedItems containsNonDate="0" containsString="0" containsBlank="1"/>
    </cacheField>
    <cacheField name="q_lv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76273145" createdVersion="8" refreshedVersion="8" minRefreshableVersion="3" recordCount="1" xr:uid="{5270DA27-09A3-4A5E-B1AE-BD7F984983B9}">
  <cacheSource type="worksheet">
    <worksheetSource name="Buses"/>
  </cacheSource>
  <cacheFields count="11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 containsNumber="1" containsInteger="1" minValue="0" maxValue="319" count="180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vn_kv" numFmtId="0">
      <sharedItems containsNonDate="0" containsString="0" containsBlank="1"/>
    </cacheField>
    <cacheField name="in_service" numFmtId="0">
      <sharedItems containsNonDate="0" containsString="0" containsBlank="1"/>
    </cacheField>
    <cacheField name="vm_pu" numFmtId="0">
      <sharedItems containsNonDate="0" containsString="0" containsBlank="1"/>
    </cacheField>
    <cacheField name="va_degre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9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1">
    <field x="4"/>
  </colFields>
  <colItems count="2">
    <i>
      <x v="1"/>
    </i>
    <i t="grand">
      <x/>
    </i>
  </colItems>
  <pageFields count="1">
    <pageField fld="2" hier="-1"/>
  </pageFields>
  <dataFields count="1">
    <dataField name="Sum of p_mw" fld="7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A3:D7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4"/>
        <item m="1" x="1"/>
        <item x="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chartFormats count="8">
    <chartFormat chart="1" format="1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  <chartFormat chart="7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8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axis="axisCol" showAll="0">
      <items count="6">
        <item m="1" x="3"/>
        <item m="1" x="4"/>
        <item m="1"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C7" firstHeaderRow="1" firstDataRow="2" firstDataCol="1" rowPageCount="2" colPageCount="1"/>
  <pivotFields count="11">
    <pivotField axis="axisPage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axis="axisRow" showAll="0">
      <items count="181">
        <item m="1" x="1"/>
        <item m="1" x="106"/>
        <item m="1" x="44"/>
        <item m="1" x="109"/>
        <item m="1" x="171"/>
        <item m="1" x="22"/>
        <item m="1" x="47"/>
        <item m="1" x="79"/>
        <item m="1" x="112"/>
        <item m="1" x="155"/>
        <item m="1" x="162"/>
        <item m="1" x="168"/>
        <item m="1" x="176"/>
        <item m="1" x="88"/>
        <item m="1" x="4"/>
        <item m="1" x="95"/>
        <item m="1" x="11"/>
        <item m="1" x="102"/>
        <item m="1" x="19"/>
        <item m="1" x="113"/>
        <item m="1" x="28"/>
        <item m="1" x="121"/>
        <item m="1" x="33"/>
        <item m="1" x="127"/>
        <item m="1" x="37"/>
        <item m="1" x="136"/>
        <item m="1" x="45"/>
        <item m="1" x="141"/>
        <item m="1" x="51"/>
        <item m="1" x="152"/>
        <item m="1" x="58"/>
        <item m="1" x="159"/>
        <item m="1" x="66"/>
        <item m="1" x="165"/>
        <item m="1" x="75"/>
        <item m="1" x="173"/>
        <item m="1" x="84"/>
        <item m="1" x="3"/>
        <item m="1" x="93"/>
        <item m="1" x="117"/>
        <item m="1" x="70"/>
        <item m="1" x="177"/>
        <item m="1" x="133"/>
        <item m="1" x="89"/>
        <item m="1" x="41"/>
        <item m="1" x="5"/>
        <item m="1" x="138"/>
        <item m="1" x="96"/>
        <item m="1" x="48"/>
        <item m="1" x="12"/>
        <item m="1" x="148"/>
        <item m="1" x="103"/>
        <item m="1" x="55"/>
        <item m="1" x="20"/>
        <item m="1" x="157"/>
        <item m="1" x="114"/>
        <item m="1" x="64"/>
        <item m="1" x="81"/>
        <item m="1" x="38"/>
        <item m="1" x="91"/>
        <item m="1" x="8"/>
        <item m="1" x="142"/>
        <item m="1" x="99"/>
        <item m="1" x="52"/>
        <item m="1" x="16"/>
        <item m="1" x="107"/>
        <item m="1" x="59"/>
        <item m="1" x="23"/>
        <item m="1" x="160"/>
        <item m="1" x="116"/>
        <item m="1" x="67"/>
        <item m="1" x="35"/>
        <item m="1" x="174"/>
        <item m="1" x="131"/>
        <item m="1" x="85"/>
        <item m="1" x="40"/>
        <item m="1" x="146"/>
        <item m="1" x="128"/>
        <item m="1" x="82"/>
        <item m="1" x="156"/>
        <item m="1" x="39"/>
        <item m="1" x="110"/>
        <item m="1" x="62"/>
        <item m="1" x="137"/>
        <item m="1" x="26"/>
        <item m="1" x="163"/>
        <item m="1" x="46"/>
        <item m="1" x="118"/>
        <item m="1" x="9"/>
        <item m="1" x="71"/>
        <item m="1" x="143"/>
        <item m="1" x="32"/>
        <item m="1" x="100"/>
        <item m="1" x="169"/>
        <item m="1" x="53"/>
        <item m="1" x="125"/>
        <item m="1" x="153"/>
        <item m="1" x="108"/>
        <item m="1" x="60"/>
        <item m="1" x="24"/>
        <item m="1" x="161"/>
        <item m="1" x="42"/>
        <item m="1" x="30"/>
        <item m="1" x="97"/>
        <item m="1" x="166"/>
        <item m="1" x="49"/>
        <item m="1" x="123"/>
        <item m="1" x="13"/>
        <item m="1" x="76"/>
        <item m="1" x="149"/>
        <item m="1" x="104"/>
        <item m="1" x="56"/>
        <item m="1" x="86"/>
        <item m="1" x="115"/>
        <item m="1" x="65"/>
        <item m="1" x="29"/>
        <item m="1" x="94"/>
        <item m="1" x="164"/>
        <item m="1" x="122"/>
        <item m="1" x="74"/>
        <item m="1" x="147"/>
        <item m="1" x="34"/>
        <item m="1" x="101"/>
        <item m="1" x="172"/>
        <item m="1" x="54"/>
        <item m="1" x="129"/>
        <item m="1" x="17"/>
        <item m="1" x="111"/>
        <item m="1" x="63"/>
        <item m="1" x="92"/>
        <item m="1" x="119"/>
        <item m="1" x="72"/>
        <item m="1" x="144"/>
        <item m="1" x="170"/>
        <item m="1" x="126"/>
        <item m="1" x="80"/>
        <item m="1" x="154"/>
        <item m="1" x="178"/>
        <item m="1" x="134"/>
        <item m="1" x="90"/>
        <item m="1" x="6"/>
        <item m="1" x="68"/>
        <item m="1" x="139"/>
        <item m="1" x="31"/>
        <item m="1" x="98"/>
        <item m="1" x="167"/>
        <item m="1" x="50"/>
        <item m="1" x="124"/>
        <item m="1" x="14"/>
        <item m="1" x="77"/>
        <item m="1" x="150"/>
        <item m="1" x="36"/>
        <item m="1" x="105"/>
        <item m="1" x="175"/>
        <item m="1" x="158"/>
        <item m="1" x="179"/>
        <item m="1" x="61"/>
        <item m="1" x="135"/>
        <item m="1" x="25"/>
        <item m="1" x="43"/>
        <item m="1" x="7"/>
        <item m="1" x="130"/>
        <item m="1" x="69"/>
        <item m="1" x="18"/>
        <item m="1" x="140"/>
        <item m="1" x="83"/>
        <item m="1" x="2"/>
        <item m="1" x="15"/>
        <item m="1" x="78"/>
        <item m="1" x="27"/>
        <item m="1" x="151"/>
        <item m="1" x="120"/>
        <item m="1" x="57"/>
        <item m="1" x="10"/>
        <item m="1" x="132"/>
        <item m="1" x="73"/>
        <item m="1" x="21"/>
        <item m="1" x="145"/>
        <item m="1" x="87"/>
        <item x="0"/>
        <item t="default"/>
      </items>
    </pivotField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179"/>
    </i>
    <i t="grand">
      <x/>
    </i>
  </rowItems>
  <colFields count="1">
    <field x="3"/>
  </colFields>
  <colItems count="2">
    <i>
      <x v="1"/>
    </i>
    <i t="grand">
      <x/>
    </i>
  </colItems>
  <pageFields count="2">
    <pageField fld="0" item="20" hier="-1"/>
    <pageField fld="2" hier="-1"/>
  </pageFields>
  <dataFields count="1">
    <dataField name="Sum of vm_pu" fld="7" baseField="0" baseItem="0"/>
  </dataFields>
  <chartFormats count="2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19" subtotal="max" baseField="1" baseItem="92"/>
    <dataField name="Min of loading_percent" fld="19" subtotal="min" baseField="9" baseItem="0"/>
    <dataField name="Average of loading_percent" fld="19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8" firstHeaderRow="1" firstDataRow="2" firstDataCol="1" rowPageCount="1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7" baseField="0" baseItem="0"/>
  </dataFields>
  <chartFormats count="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9" baseField="0" baseItem="0"/>
  </dataFields>
  <chartFormats count="3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21" subtotal="max" baseField="9" baseItem="0"/>
    <dataField name="Min of loading_percent" fld="21" subtotal="min" baseField="0" baseItem="1"/>
    <dataField name="Average of loading_percent" fld="21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abSelected="1" workbookViewId="0">
      <selection activeCell="M20" sqref="M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ard_create">
                <anchor moveWithCells="1" sizeWithCells="1">
                  <from>
                    <xdr:col>0</xdr:col>
                    <xdr:colOff>600075</xdr:colOff>
                    <xdr:row>3</xdr:row>
                    <xdr:rowOff>19050</xdr:rowOff>
                  </from>
                  <to>
                    <xdr:col>4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4</xdr:col>
                    <xdr:colOff>571500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view">
                <anchor moveWithCells="1" sizeWithCells="1">
                  <from>
                    <xdr:col>1</xdr:col>
                    <xdr:colOff>9525</xdr:colOff>
                    <xdr:row>6</xdr:row>
                    <xdr:rowOff>57150</xdr:rowOff>
                  </from>
                  <to>
                    <xdr:col>4</xdr:col>
                    <xdr:colOff>571500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topLeftCell="A70" zoomScale="145" zoomScaleNormal="145" workbookViewId="0">
      <selection activeCell="AA5" sqref="AA5"/>
    </sheetView>
  </sheetViews>
  <sheetFormatPr defaultRowHeight="15" x14ac:dyDescent="0.25"/>
  <cols>
    <col min="1" max="1" width="1.5703125" customWidth="1"/>
    <col min="2" max="2" width="12" customWidth="1"/>
  </cols>
  <sheetData>
    <row r="1" ht="6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workbookViewId="0">
      <selection activeCell="D52" sqref="D52"/>
    </sheetView>
  </sheetViews>
  <sheetFormatPr defaultRowHeight="15" x14ac:dyDescent="0.25"/>
  <cols>
    <col min="2" max="2" width="12.7109375" customWidth="1"/>
    <col min="3" max="3" width="9" bestFit="1" customWidth="1"/>
    <col min="4" max="4" width="10" bestFit="1" customWidth="1"/>
    <col min="5" max="6" width="10" customWidth="1"/>
    <col min="7" max="7" width="9.42578125" bestFit="1" customWidth="1"/>
    <col min="8" max="8" width="9.140625" bestFit="1" customWidth="1"/>
    <col min="9" max="9" width="13.7109375" bestFit="1" customWidth="1"/>
    <col min="10" max="10" width="12" bestFit="1" customWidth="1"/>
    <col min="11" max="11" width="14" bestFit="1" customWidth="1"/>
  </cols>
  <sheetData>
    <row r="2" spans="2:11" ht="21" x14ac:dyDescent="0.25">
      <c r="C2" s="15" t="s">
        <v>8</v>
      </c>
      <c r="D2" s="15"/>
      <c r="E2" s="15"/>
      <c r="F2" s="15"/>
      <c r="G2" s="15"/>
      <c r="H2" s="15"/>
      <c r="I2" s="15"/>
      <c r="J2" s="15"/>
      <c r="K2" s="15"/>
    </row>
    <row r="3" spans="2:11" ht="45.75" thickBot="1" x14ac:dyDescent="0.3">
      <c r="B3" s="9" t="s">
        <v>50</v>
      </c>
      <c r="C3" s="11" t="s">
        <v>30</v>
      </c>
      <c r="D3" s="11" t="s">
        <v>11</v>
      </c>
      <c r="E3" s="11" t="s">
        <v>117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30.75" thickBot="1" x14ac:dyDescent="0.3">
      <c r="B4" s="9" t="s">
        <v>49</v>
      </c>
      <c r="C4" s="3" t="s">
        <v>53</v>
      </c>
      <c r="D4" s="12" t="s">
        <v>54</v>
      </c>
      <c r="E4" s="12" t="s">
        <v>118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25">
      <c r="B5" s="9"/>
      <c r="C5" s="4"/>
    </row>
    <row r="6" spans="2:11" x14ac:dyDescent="0.25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workbookViewId="0">
      <selection activeCell="E3" sqref="E3"/>
    </sheetView>
  </sheetViews>
  <sheetFormatPr defaultRowHeight="15" x14ac:dyDescent="0.25"/>
  <cols>
    <col min="1" max="1" width="6" customWidth="1"/>
    <col min="2" max="2" width="11.7109375" bestFit="1" customWidth="1"/>
    <col min="4" max="5" width="11.140625" customWidth="1"/>
    <col min="6" max="6" width="10.5703125" bestFit="1" customWidth="1"/>
    <col min="7" max="7" width="10" bestFit="1" customWidth="1"/>
    <col min="8" max="9" width="10" customWidth="1"/>
    <col min="10" max="10" width="11.42578125" customWidth="1"/>
    <col min="11" max="11" width="10.85546875" bestFit="1" customWidth="1"/>
    <col min="12" max="12" width="12.42578125" bestFit="1" customWidth="1"/>
    <col min="13" max="13" width="12" bestFit="1" customWidth="1"/>
    <col min="14" max="14" width="12.42578125" bestFit="1" customWidth="1"/>
    <col min="15" max="15" width="15.28515625" customWidth="1"/>
    <col min="16" max="16" width="14.140625" customWidth="1"/>
    <col min="17" max="18" width="14.85546875" customWidth="1"/>
  </cols>
  <sheetData>
    <row r="2" spans="2:18" ht="21" x14ac:dyDescent="0.25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2:18" ht="60.75" thickBot="1" x14ac:dyDescent="0.3">
      <c r="B3" s="9" t="s">
        <v>50</v>
      </c>
      <c r="C3" s="3" t="s">
        <v>30</v>
      </c>
      <c r="D3" s="6" t="s">
        <v>16</v>
      </c>
      <c r="E3" s="6" t="s">
        <v>117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30" x14ac:dyDescent="0.25">
      <c r="B4" s="6" t="s">
        <v>49</v>
      </c>
      <c r="C4" s="12" t="s">
        <v>31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25">
      <c r="B5" s="9"/>
      <c r="C5" s="4"/>
      <c r="D5" s="14"/>
      <c r="E5" s="14"/>
    </row>
    <row r="6" spans="2:18" x14ac:dyDescent="0.25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workbookViewId="0">
      <selection activeCell="F11" sqref="F11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28515625" bestFit="1" customWidth="1"/>
    <col min="9" max="9" width="13.7109375" bestFit="1" customWidth="1"/>
    <col min="10" max="10" width="11.28515625" bestFit="1" customWidth="1"/>
    <col min="11" max="11" width="14.28515625" bestFit="1" customWidth="1"/>
    <col min="12" max="12" width="12" bestFit="1" customWidth="1"/>
    <col min="13" max="13" width="14" bestFit="1" customWidth="1"/>
  </cols>
  <sheetData>
    <row r="1" spans="2:13" ht="15.6" customHeight="1" x14ac:dyDescent="0.25"/>
    <row r="2" spans="2:13" ht="21" x14ac:dyDescent="0.25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2:13" ht="45.75" thickBot="1" x14ac:dyDescent="0.3">
      <c r="B3" s="9" t="s">
        <v>50</v>
      </c>
      <c r="C3" s="11" t="s">
        <v>30</v>
      </c>
      <c r="D3" s="11" t="s">
        <v>9</v>
      </c>
      <c r="E3" s="11" t="s">
        <v>117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" customHeight="1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25">
      <c r="B5" s="9"/>
      <c r="C5" s="4"/>
    </row>
    <row r="6" spans="2:13" x14ac:dyDescent="0.25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topLeftCell="A2" workbookViewId="0">
      <selection activeCell="G8" sqref="G8"/>
    </sheetView>
  </sheetViews>
  <sheetFormatPr defaultRowHeight="15" x14ac:dyDescent="0.25"/>
  <cols>
    <col min="1" max="1" width="5.2851562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7109375" bestFit="1" customWidth="1"/>
    <col min="9" max="9" width="11.28515625" bestFit="1" customWidth="1"/>
    <col min="10" max="11" width="12.7109375" bestFit="1" customWidth="1"/>
    <col min="12" max="12" width="12.42578125" bestFit="1" customWidth="1"/>
    <col min="13" max="13" width="15" bestFit="1" customWidth="1"/>
    <col min="14" max="14" width="11.5703125" bestFit="1" customWidth="1"/>
    <col min="15" max="16" width="12.7109375" bestFit="1" customWidth="1"/>
    <col min="17" max="17" width="17" bestFit="1" customWidth="1"/>
    <col min="18" max="18" width="13.42578125" bestFit="1" customWidth="1"/>
    <col min="19" max="19" width="14.7109375" bestFit="1" customWidth="1"/>
    <col min="20" max="21" width="12.28515625" bestFit="1" customWidth="1"/>
    <col min="22" max="22" width="12.7109375" bestFit="1" customWidth="1"/>
  </cols>
  <sheetData>
    <row r="2" spans="2:22" ht="21" x14ac:dyDescent="0.25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</row>
    <row r="3" spans="2:22" ht="45.75" thickBot="1" x14ac:dyDescent="0.3">
      <c r="B3" s="9" t="s">
        <v>50</v>
      </c>
      <c r="C3" s="13" t="s">
        <v>31</v>
      </c>
      <c r="D3" s="13" t="s">
        <v>20</v>
      </c>
      <c r="E3" s="13" t="s">
        <v>117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25">
      <c r="B4" s="9" t="s">
        <v>49</v>
      </c>
      <c r="C4" s="2" t="s">
        <v>53</v>
      </c>
      <c r="D4" s="2" t="s">
        <v>54</v>
      </c>
      <c r="E4" s="2" t="s">
        <v>118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25">
      <c r="B5" s="9"/>
      <c r="C5" s="4"/>
    </row>
    <row r="6" spans="2:22" x14ac:dyDescent="0.25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topLeftCell="B1" workbookViewId="0">
      <selection activeCell="E5" sqref="E5"/>
    </sheetView>
  </sheetViews>
  <sheetFormatPr defaultRowHeight="15" x14ac:dyDescent="0.25"/>
  <cols>
    <col min="1" max="1" width="3.7109375" customWidth="1"/>
    <col min="2" max="2" width="11.7109375" bestFit="1" customWidth="1"/>
    <col min="7" max="7" width="9" customWidth="1"/>
    <col min="12" max="12" width="11.28515625" customWidth="1"/>
    <col min="13" max="13" width="9.7109375" customWidth="1"/>
    <col min="14" max="14" width="10.7109375" customWidth="1"/>
  </cols>
  <sheetData>
    <row r="2" spans="2:24" ht="21" x14ac:dyDescent="0.25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24" ht="60.75" thickBot="1" x14ac:dyDescent="0.3">
      <c r="B3" s="9" t="s">
        <v>50</v>
      </c>
      <c r="C3" s="11" t="s">
        <v>30</v>
      </c>
      <c r="D3" s="11" t="s">
        <v>32</v>
      </c>
      <c r="E3" s="11" t="s">
        <v>117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30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25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A1"/>
  <sheetViews>
    <sheetView workbookViewId="0">
      <selection activeCell="H45" sqref="H45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2:C7"/>
  <sheetViews>
    <sheetView workbookViewId="0">
      <selection activeCell="H4" sqref="H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1.28515625" bestFit="1" customWidth="1"/>
  </cols>
  <sheetData>
    <row r="2" spans="1:3" x14ac:dyDescent="0.25">
      <c r="A2" s="7" t="s">
        <v>118</v>
      </c>
      <c r="B2" t="s">
        <v>47</v>
      </c>
    </row>
    <row r="4" spans="1:3" x14ac:dyDescent="0.25">
      <c r="A4" s="7" t="s">
        <v>109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</row>
    <row r="7" spans="1:3" x14ac:dyDescent="0.25">
      <c r="A7" s="8" t="s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A1:D7"/>
  <sheetViews>
    <sheetView workbookViewId="0">
      <selection activeCell="AG28" sqref="AG2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12.140625" bestFit="1" customWidth="1"/>
    <col min="4" max="4" width="11.28515625" bestFit="1" customWidth="1"/>
    <col min="5" max="5" width="7.140625" bestFit="1" customWidth="1"/>
    <col min="6" max="6" width="13.28515625" bestFit="1" customWidth="1"/>
    <col min="7" max="8" width="12.42578125" bestFit="1" customWidth="1"/>
  </cols>
  <sheetData>
    <row r="1" spans="1:4" x14ac:dyDescent="0.25">
      <c r="A1" s="7" t="s">
        <v>118</v>
      </c>
      <c r="B1" t="s">
        <v>47</v>
      </c>
    </row>
    <row r="3" spans="1:4" x14ac:dyDescent="0.25">
      <c r="A3" s="7" t="s">
        <v>110</v>
      </c>
      <c r="B3" s="7" t="s">
        <v>48</v>
      </c>
    </row>
    <row r="4" spans="1:4" x14ac:dyDescent="0.25">
      <c r="B4" t="s">
        <v>116</v>
      </c>
      <c r="C4" t="s">
        <v>119</v>
      </c>
      <c r="D4" t="s">
        <v>46</v>
      </c>
    </row>
    <row r="5" spans="1:4" x14ac:dyDescent="0.25">
      <c r="A5" s="7" t="s">
        <v>45</v>
      </c>
      <c r="B5" t="s">
        <v>116</v>
      </c>
    </row>
    <row r="6" spans="1:4" x14ac:dyDescent="0.25">
      <c r="A6" s="8" t="s">
        <v>116</v>
      </c>
    </row>
    <row r="7" spans="1:4" x14ac:dyDescent="0.25">
      <c r="A7" s="8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2:D8"/>
  <sheetViews>
    <sheetView workbookViewId="0">
      <selection activeCell="A5" sqref="A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12.140625" bestFit="1" customWidth="1"/>
    <col min="4" max="5" width="11.28515625" bestFit="1" customWidth="1"/>
    <col min="6" max="6" width="15.140625" bestFit="1" customWidth="1"/>
    <col min="7" max="7" width="18.28515625" bestFit="1" customWidth="1"/>
    <col min="8" max="9" width="11.28515625" bestFit="1" customWidth="1"/>
  </cols>
  <sheetData>
    <row r="2" spans="1:4" x14ac:dyDescent="0.25">
      <c r="A2" s="7" t="s">
        <v>118</v>
      </c>
      <c r="B2" t="s">
        <v>47</v>
      </c>
    </row>
    <row r="4" spans="1:4" x14ac:dyDescent="0.25">
      <c r="A4" s="7" t="s">
        <v>110</v>
      </c>
      <c r="B4" s="7" t="s">
        <v>48</v>
      </c>
    </row>
    <row r="5" spans="1:4" x14ac:dyDescent="0.25">
      <c r="B5" t="s">
        <v>116</v>
      </c>
      <c r="C5" t="s">
        <v>119</v>
      </c>
      <c r="D5" t="s">
        <v>46</v>
      </c>
    </row>
    <row r="6" spans="1:4" x14ac:dyDescent="0.25">
      <c r="A6" s="7" t="s">
        <v>45</v>
      </c>
      <c r="B6" t="s">
        <v>116</v>
      </c>
    </row>
    <row r="7" spans="1:4" x14ac:dyDescent="0.25">
      <c r="A7" s="8" t="s">
        <v>116</v>
      </c>
    </row>
    <row r="8" spans="1:4" x14ac:dyDescent="0.25">
      <c r="A8" s="8" t="s">
        <v>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C7"/>
  <sheetViews>
    <sheetView workbookViewId="0">
      <selection activeCell="AD26" sqref="AD26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</cols>
  <sheetData>
    <row r="1" spans="1:3" x14ac:dyDescent="0.25">
      <c r="A1" s="7" t="s">
        <v>53</v>
      </c>
      <c r="B1" t="s">
        <v>116</v>
      </c>
    </row>
    <row r="2" spans="1:3" x14ac:dyDescent="0.25">
      <c r="A2" s="7" t="s">
        <v>118</v>
      </c>
      <c r="B2" t="s">
        <v>47</v>
      </c>
    </row>
    <row r="4" spans="1:3" x14ac:dyDescent="0.25">
      <c r="A4" s="7" t="s">
        <v>111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</row>
    <row r="7" spans="1:3" x14ac:dyDescent="0.25">
      <c r="A7" s="8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6"/>
  <sheetViews>
    <sheetView workbookViewId="0">
      <selection activeCell="J27" sqref="J27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7.42578125" bestFit="1" customWidth="1"/>
    <col min="6" max="6" width="27.140625" bestFit="1" customWidth="1"/>
    <col min="7" max="7" width="31" bestFit="1" customWidth="1"/>
    <col min="8" max="8" width="30.7109375" bestFit="1" customWidth="1"/>
    <col min="9" max="9" width="34.28515625" bestFit="1" customWidth="1"/>
    <col min="10" max="10" width="31.42578125" bestFit="1" customWidth="1"/>
    <col min="11" max="11" width="30.7109375" bestFit="1" customWidth="1"/>
    <col min="12" max="12" width="34.28515625" bestFit="1" customWidth="1"/>
    <col min="13" max="13" width="31.42578125" bestFit="1" customWidth="1"/>
  </cols>
  <sheetData>
    <row r="1" spans="1:4" x14ac:dyDescent="0.25">
      <c r="A1" s="7" t="s">
        <v>118</v>
      </c>
      <c r="B1" t="s">
        <v>47</v>
      </c>
    </row>
    <row r="2" spans="1:4" x14ac:dyDescent="0.25">
      <c r="A2" s="7" t="s">
        <v>55</v>
      </c>
      <c r="B2" t="s">
        <v>47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</row>
    <row r="6" spans="1:4" x14ac:dyDescent="0.25">
      <c r="A6" s="8" t="s">
        <v>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3:C8"/>
  <sheetViews>
    <sheetView workbookViewId="0">
      <selection activeCell="J27" sqref="J27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  <col min="4" max="5" width="12.42578125" bestFit="1" customWidth="1"/>
    <col min="6" max="6" width="20.7109375" bestFit="1" customWidth="1"/>
    <col min="7" max="7" width="21.85546875" bestFit="1" customWidth="1"/>
    <col min="8" max="8" width="24.28515625" bestFit="1" customWidth="1"/>
    <col min="9" max="9" width="25.28515625" bestFit="1" customWidth="1"/>
  </cols>
  <sheetData>
    <row r="3" spans="1:3" x14ac:dyDescent="0.25">
      <c r="A3" s="7" t="s">
        <v>118</v>
      </c>
      <c r="B3" t="s">
        <v>47</v>
      </c>
    </row>
    <row r="5" spans="1:3" x14ac:dyDescent="0.25">
      <c r="A5" s="7" t="s">
        <v>112</v>
      </c>
      <c r="B5" s="7" t="s">
        <v>48</v>
      </c>
    </row>
    <row r="6" spans="1:3" x14ac:dyDescent="0.25">
      <c r="A6" s="7" t="s">
        <v>45</v>
      </c>
      <c r="B6" t="s">
        <v>116</v>
      </c>
      <c r="C6" t="s">
        <v>46</v>
      </c>
    </row>
    <row r="7" spans="1:3" x14ac:dyDescent="0.25">
      <c r="A7" s="8" t="s">
        <v>116</v>
      </c>
    </row>
    <row r="8" spans="1:3" x14ac:dyDescent="0.25">
      <c r="A8" s="8" t="s">
        <v>46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C7"/>
  <sheetViews>
    <sheetView workbookViewId="0">
      <selection activeCell="D33" sqref="D33:D34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  <col min="4" max="4" width="25.7109375" bestFit="1" customWidth="1"/>
  </cols>
  <sheetData>
    <row r="2" spans="1:3" x14ac:dyDescent="0.25">
      <c r="A2" s="7" t="s">
        <v>118</v>
      </c>
      <c r="B2" t="s">
        <v>47</v>
      </c>
    </row>
    <row r="4" spans="1:3" x14ac:dyDescent="0.25">
      <c r="A4" s="7" t="s">
        <v>112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</row>
    <row r="7" spans="1:3" x14ac:dyDescent="0.25">
      <c r="A7" s="8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1:D6"/>
  <sheetViews>
    <sheetView workbookViewId="0">
      <selection activeCell="D33" sqref="D33:D34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7.42578125" bestFit="1" customWidth="1"/>
    <col min="6" max="6" width="27.140625" bestFit="1" customWidth="1"/>
    <col min="7" max="7" width="31" bestFit="1" customWidth="1"/>
    <col min="8" max="8" width="30.7109375" bestFit="1" customWidth="1"/>
    <col min="9" max="9" width="35.28515625" bestFit="1" customWidth="1"/>
    <col min="10" max="10" width="31.42578125" bestFit="1" customWidth="1"/>
  </cols>
  <sheetData>
    <row r="1" spans="1:4" x14ac:dyDescent="0.25">
      <c r="A1" s="7" t="s">
        <v>118</v>
      </c>
      <c r="B1" t="s">
        <v>47</v>
      </c>
    </row>
    <row r="2" spans="1:4" x14ac:dyDescent="0.25">
      <c r="A2" s="7" t="s">
        <v>55</v>
      </c>
      <c r="B2" t="s">
        <v>47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</row>
    <row r="6" spans="1:4" x14ac:dyDescent="0.25">
      <c r="A6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Data</vt:lpstr>
      <vt:lpstr>Demand01</vt:lpstr>
      <vt:lpstr>Gen01</vt:lpstr>
      <vt:lpstr>Gen02</vt:lpstr>
      <vt:lpstr>bus01</vt:lpstr>
      <vt:lpstr>Lines01</vt:lpstr>
      <vt:lpstr>Lines02</vt:lpstr>
      <vt:lpstr>Trafos02</vt:lpstr>
      <vt:lpstr>Trafos01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2023-01-19T14:57:21Z</dcterms:modified>
</cp:coreProperties>
</file>