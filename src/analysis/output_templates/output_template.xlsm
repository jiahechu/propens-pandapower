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rti\Documents\propens-pandapower\src\analysis\output_templates\"/>
    </mc:Choice>
  </mc:AlternateContent>
  <xr:revisionPtr revIDLastSave="0" documentId="13_ncr:1_{E5B9BA57-5295-43F3-8E74-9EC4C341C260}" xr6:coauthVersionLast="47" xr6:coauthVersionMax="47" xr10:uidLastSave="{00000000-0000-0000-0000-000000000000}"/>
  <bookViews>
    <workbookView xWindow="-108" yWindow="-108" windowWidth="23256" windowHeight="12456" tabRatio="799" xr2:uid="{99A6308F-9893-48E9-8687-2814B55273BF}"/>
  </bookViews>
  <sheets>
    <sheet name="Summary" sheetId="6" r:id="rId1"/>
    <sheet name="Dashboard" sheetId="7" state="hidden" r:id="rId2"/>
    <sheet name="Demand" sheetId="4" r:id="rId3"/>
    <sheet name="Generation" sheetId="5" r:id="rId4"/>
    <sheet name="Buses" sheetId="1" r:id="rId5"/>
    <sheet name="Lines" sheetId="2" r:id="rId6"/>
    <sheet name="Trafos" sheetId="3" r:id="rId7"/>
    <sheet name="Demand_ts" sheetId="18" state="hidden" r:id="rId8"/>
    <sheet name="Demand_zone" sheetId="20" state="hidden" r:id="rId9"/>
    <sheet name="Gen_ts " sheetId="19" state="hidden" r:id="rId10"/>
    <sheet name="Gen_fuel" sheetId="21" state="hidden" r:id="rId11"/>
    <sheet name="Losses_ts" sheetId="22" state="hidden" r:id="rId12"/>
    <sheet name="Losses_share" sheetId="23" state="hidden" r:id="rId13"/>
    <sheet name="Line_loading" sheetId="24" state="hidden" r:id="rId14"/>
    <sheet name="Trafo_loading" sheetId="26" state="hidden" r:id="rId15"/>
    <sheet name="Data" sheetId="17" r:id="rId16"/>
  </sheets>
  <definedNames>
    <definedName name="_xlnm._FilterDatabase" localSheetId="4" hidden="1">Buses!$D$4:$L$4</definedName>
    <definedName name="_xlnm._FilterDatabase" localSheetId="15" hidden="1">Data!$B$2:$AS$2</definedName>
  </definedNames>
  <calcPr calcId="191029"/>
  <pivotCaches>
    <pivotCache cacheId="0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<sst xmlns="http://schemas.openxmlformats.org/spreadsheetml/2006/main" count="345" uniqueCount="128">
  <si>
    <t>Zone</t>
  </si>
  <si>
    <t>Name</t>
  </si>
  <si>
    <t>In Service</t>
  </si>
  <si>
    <t>Voltage [p.u]</t>
  </si>
  <si>
    <t>Active Power [MW]</t>
  </si>
  <si>
    <t>Reactive Power [MVAr]</t>
  </si>
  <si>
    <t>Voltage Level [kV]</t>
  </si>
  <si>
    <t>Voltage Phase [degree]</t>
  </si>
  <si>
    <t>Demand</t>
  </si>
  <si>
    <t>Bus Index</t>
  </si>
  <si>
    <t>In service</t>
  </si>
  <si>
    <t>Load Index</t>
  </si>
  <si>
    <t>Maximum Active Power [MW]</t>
  </si>
  <si>
    <t>Maximum Reactive Power [MVAr]</t>
  </si>
  <si>
    <t>Minimum Reactive Power [MVAr]</t>
  </si>
  <si>
    <t>Minimum Active Power [MW]</t>
  </si>
  <si>
    <t>Generator Index</t>
  </si>
  <si>
    <t xml:space="preserve"> Active Power [MW]</t>
  </si>
  <si>
    <t xml:space="preserve"> Reactive Power [MVAr]</t>
  </si>
  <si>
    <t>Tranmission and Distribution Lines</t>
  </si>
  <si>
    <t>Line Index</t>
  </si>
  <si>
    <t>Length [km]</t>
  </si>
  <si>
    <t>Maximum Loading [%]</t>
  </si>
  <si>
    <t>Number of Lines in Parallel</t>
  </si>
  <si>
    <t>Std. Type</t>
  </si>
  <si>
    <t>From Bus Act. Power [MW]</t>
  </si>
  <si>
    <t>To Bus Act. Power [MW]</t>
  </si>
  <si>
    <t>To Bus Raact. Power [MVAr]</t>
  </si>
  <si>
    <t>Transformers</t>
  </si>
  <si>
    <t>Buses Parameters</t>
  </si>
  <si>
    <t>Time Step</t>
  </si>
  <si>
    <t>Step</t>
  </si>
  <si>
    <t>Trafo Index</t>
  </si>
  <si>
    <t>Number of Trafos in Parallel</t>
  </si>
  <si>
    <t>Std Type</t>
  </si>
  <si>
    <t>High Voltage Side [kV]</t>
  </si>
  <si>
    <t xml:space="preserve">Low Voltage Side [kV] </t>
  </si>
  <si>
    <t>FE Losses [kW]</t>
  </si>
  <si>
    <t>Shift Degree</t>
  </si>
  <si>
    <t>Tap Position</t>
  </si>
  <si>
    <t>HV Act. Power [MW]</t>
  </si>
  <si>
    <t>HV React. Power [MVAr]</t>
  </si>
  <si>
    <t>LV Act. Power [MW]</t>
  </si>
  <si>
    <t>LV React. Power [MVAr]</t>
  </si>
  <si>
    <t>Generators</t>
  </si>
  <si>
    <t>Row Labels</t>
  </si>
  <si>
    <t>Grand Total</t>
  </si>
  <si>
    <t>(All)</t>
  </si>
  <si>
    <t>Column Labels</t>
  </si>
  <si>
    <t>Pandapower Command</t>
  </si>
  <si>
    <t>Parameter</t>
  </si>
  <si>
    <t>Loading  [%]</t>
  </si>
  <si>
    <t>Loading [%]</t>
  </si>
  <si>
    <t>step</t>
  </si>
  <si>
    <t>index</t>
  </si>
  <si>
    <t>zone</t>
  </si>
  <si>
    <t>name</t>
  </si>
  <si>
    <t>from_bus</t>
  </si>
  <si>
    <t>to_bus</t>
  </si>
  <si>
    <t>in_service</t>
  </si>
  <si>
    <t>length_km</t>
  </si>
  <si>
    <t>max_i_ka</t>
  </si>
  <si>
    <t>max_loading_percent</t>
  </si>
  <si>
    <t>parallel</t>
  </si>
  <si>
    <t>std_type</t>
  </si>
  <si>
    <t>p_from_mw</t>
  </si>
  <si>
    <t>q_from_mvar</t>
  </si>
  <si>
    <t>p_to_mw</t>
  </si>
  <si>
    <t>q_to_mvar</t>
  </si>
  <si>
    <t>pl_mw</t>
  </si>
  <si>
    <t>ql_mvar</t>
  </si>
  <si>
    <t>loading_percent</t>
  </si>
  <si>
    <t>hv_bus</t>
  </si>
  <si>
    <t>lv_bus</t>
  </si>
  <si>
    <t>vn_hv_kv</t>
  </si>
  <si>
    <t>vn_lv_kv</t>
  </si>
  <si>
    <t>pfe_kw</t>
  </si>
  <si>
    <t>shift_degree</t>
  </si>
  <si>
    <t>tap_pos</t>
  </si>
  <si>
    <t>p_hv_mw</t>
  </si>
  <si>
    <t>q_hv_mvar</t>
  </si>
  <si>
    <t>p_lv_mw</t>
  </si>
  <si>
    <t>q_lv_mvar</t>
  </si>
  <si>
    <t>vn_kv</t>
  </si>
  <si>
    <t>vm_pu</t>
  </si>
  <si>
    <t>va_degree</t>
  </si>
  <si>
    <t>p_mw</t>
  </si>
  <si>
    <t>q_mvar</t>
  </si>
  <si>
    <t>bus</t>
  </si>
  <si>
    <t>Line Name</t>
  </si>
  <si>
    <t>To Bus Index</t>
  </si>
  <si>
    <t>From Bus Index</t>
  </si>
  <si>
    <t>Max Current [A]</t>
  </si>
  <si>
    <t>From Bus React. Power [MVAr]</t>
  </si>
  <si>
    <t>Active Losses [MW]</t>
  </si>
  <si>
    <t>Reactive Losses [MVar]</t>
  </si>
  <si>
    <t>HV Bus Index</t>
  </si>
  <si>
    <t>LV Bus Index</t>
  </si>
  <si>
    <t>Reactive Losses [MVAr]</t>
  </si>
  <si>
    <t>fuel</t>
  </si>
  <si>
    <t>max_p_mw</t>
  </si>
  <si>
    <t>max_q_mw</t>
  </si>
  <si>
    <t>min_p_mw</t>
  </si>
  <si>
    <t>min_q_mvar</t>
  </si>
  <si>
    <t xml:space="preserve">p_mw </t>
  </si>
  <si>
    <t>Fuel / Source</t>
  </si>
  <si>
    <t>Voltage Setting Point [PV bus]</t>
  </si>
  <si>
    <t>type</t>
  </si>
  <si>
    <t>Type</t>
  </si>
  <si>
    <t>Sum of p_mw</t>
  </si>
  <si>
    <t>Sum of pl_mw</t>
  </si>
  <si>
    <t>Scenario Name</t>
  </si>
  <si>
    <t>scenario</t>
  </si>
  <si>
    <t>element</t>
  </si>
  <si>
    <t>max_q_mvar</t>
  </si>
  <si>
    <t>gen</t>
  </si>
  <si>
    <t>sgen</t>
  </si>
  <si>
    <t>ext_grid</t>
  </si>
  <si>
    <t>trafo</t>
  </si>
  <si>
    <t>line</t>
  </si>
  <si>
    <t>load</t>
  </si>
  <si>
    <t>(Multiple Items)</t>
  </si>
  <si>
    <t>x</t>
  </si>
  <si>
    <t>x Total</t>
  </si>
  <si>
    <t>Average of loading_percent</t>
  </si>
  <si>
    <t>Max of loading_percent</t>
  </si>
  <si>
    <t>Min of loading_percent</t>
  </si>
  <si>
    <t>Propens - PandaPower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</si>
</sst>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48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vertical="top" wrapText="1"/>
    </xf>
    <xf numFmtId="0" fontId="0" fillId="0" borderId="0" xfId="0" quotePrefix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0" fillId="3" borderId="2" xfId="0" applyFill="1" applyBorder="1"/>
    <xf numFmtId="0" fontId="0" fillId="0" borderId="2" xfId="0" applyBorder="1"/>
    <xf numFmtId="0" fontId="3" fillId="0" borderId="0" xfId="0" applyFont="1" applyAlignment="1">
      <alignment horizontal="center"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3" fillId="0" borderId="0" xfId="0" applyFont="1" applyAlignment="1">
      <alignment horizontal="center" vertical="center" wrapText="1"/>
    </xf>
    <xf numFmtId="0" fontId="0" fillId="0" borderId="3" xfId="0" applyBorder="1"/>
    <xf numFmtId="0" fontId="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top"/>
    </xf>
    <xf numFmtId="0" fontId="3" fillId="0" borderId="1" xfId="0" quotePrefix="1" applyFont="1" applyBorder="1" applyAlignment="1">
      <alignment horizontal="center" vertical="center" wrapText="1"/>
    </xf>
    <xf numFmtId="0" fontId="0" fillId="3" borderId="0" xfId="0" applyFill="1"/>
    <xf numFmtId="0" fontId="0" fillId="2" borderId="0" xfId="0" applyFill="1"/>
    <xf numFmtId="0" fontId="0" fillId="0" borderId="0" xfId="0" quotePrefix="1"/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top" textRotation="0" indent="0" justifyLastLine="0" shrinkToFit="0" readingOrder="0"/>
    </dxf>
    <dxf>
      <fill>
        <patternFill patternType="solid">
          <fgColor theme="8" tint="0.79998168889431442"/>
          <bgColor theme="8" tint="0.79998168889431442"/>
        </patternFill>
      </fill>
    </dxf>
    <dxf>
      <fill>
        <patternFill patternType="solid">
          <fgColor theme="8" tint="0.79998168889431442"/>
          <bgColor theme="8" tint="0.79998168889431442"/>
        </patternFill>
      </fill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[output_template.xlsm]Demand_ts!Demand_ts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Demand_ts!$B$4:$B$5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Demand_ts!$A$6:$A$7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Demand_ts!$B$6:$B$7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2E-47CF-BECB-3488A8D60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3890143"/>
        <c:axId val="73890559"/>
      </c:barChart>
      <c:catAx>
        <c:axId val="738901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90559"/>
        <c:crosses val="autoZero"/>
        <c:auto val="1"/>
        <c:lblAlgn val="ctr"/>
        <c:lblOffset val="100"/>
        <c:noMultiLvlLbl val="0"/>
      </c:catAx>
      <c:valAx>
        <c:axId val="73890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9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[output_template.xlsm]Gen_ts !Gen_ts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Generation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'Gen_ts '!$B$4:$B$6</c:f>
              <c:strCache>
                <c:ptCount val="1"/>
                <c:pt idx="0">
                  <c:v>x - 0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'Gen_ts '!$A$7:$A$8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'Gen_ts '!$B$7:$B$8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A9-4E61-B40E-32C089FDE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3890143"/>
        <c:axId val="73890559"/>
      </c:barChart>
      <c:catAx>
        <c:axId val="738901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90559"/>
        <c:crosses val="autoZero"/>
        <c:auto val="1"/>
        <c:lblAlgn val="ctr"/>
        <c:lblOffset val="100"/>
        <c:noMultiLvlLbl val="0"/>
      </c:catAx>
      <c:valAx>
        <c:axId val="73890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9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[output_template.xlsm]Demand_zone!Demand_zone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Zone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Demand_zone!$B$4:$B$5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A42-446C-B19D-5CF12690B050}"/>
              </c:ext>
            </c:extLst>
          </c:dPt>
          <c:cat>
            <c:strRef>
              <c:f>Demand_zone!$A$6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Demand_zone!$B$6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42-446C-B19D-5CF12690B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989029535"/>
        <c:axId val="989032447"/>
      </c:barChart>
      <c:catAx>
        <c:axId val="989029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032447"/>
        <c:crosses val="autoZero"/>
        <c:auto val="1"/>
        <c:lblAlgn val="ctr"/>
        <c:lblOffset val="100"/>
        <c:noMultiLvlLbl val="0"/>
      </c:catAx>
      <c:valAx>
        <c:axId val="989032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029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[output_template.xlsm]Gen_fuel!Gen_fuel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Fuel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Gen_fuel!$B$4:$B$6</c:f>
              <c:strCache>
                <c:ptCount val="1"/>
                <c:pt idx="0">
                  <c:v>x - 0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1D2-4A04-B4E8-5B2617A09B08}"/>
              </c:ext>
            </c:extLst>
          </c:dPt>
          <c:cat>
            <c:strRef>
              <c:f>Gen_fuel!$A$7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Gen_fuel!$B$7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D2-4A04-B4E8-5B2617A09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953993391"/>
        <c:axId val="953995887"/>
      </c:barChart>
      <c:catAx>
        <c:axId val="953993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995887"/>
        <c:crosses val="autoZero"/>
        <c:auto val="1"/>
        <c:lblAlgn val="ctr"/>
        <c:lblOffset val="100"/>
        <c:noMultiLvlLbl val="0"/>
      </c:catAx>
      <c:valAx>
        <c:axId val="95399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993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[output_template.xlsm]Losses_ts!Losses_ts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Losses in Lines and Tranformers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Losses_ts!$B$4:$B$5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Losses_ts!$A$6:$A$7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Losses_ts!$B$6:$B$7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00-4FFF-A265-7A7F766CC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014287"/>
        <c:axId val="433020527"/>
      </c:lineChart>
      <c:catAx>
        <c:axId val="433014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020527"/>
        <c:crosses val="autoZero"/>
        <c:auto val="1"/>
        <c:lblAlgn val="ctr"/>
        <c:lblOffset val="100"/>
        <c:noMultiLvlLbl val="0"/>
      </c:catAx>
      <c:valAx>
        <c:axId val="433020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014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[output_template.xlsm]Losses_share!Losses_share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Lines and Transformers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Losses_share!$B$4:$B$5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E7F-4E06-AB93-CEC6973F3543}"/>
              </c:ext>
            </c:extLst>
          </c:dPt>
          <c:cat>
            <c:strRef>
              <c:f>Losses_share!$A$6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Losses_share!$B$6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7F-4E06-AB93-CEC6973F3543}"/>
            </c:ext>
          </c:extLst>
        </c:ser>
        <c:ser>
          <c:idx val="1"/>
          <c:order val="1"/>
          <c:tx>
            <c:strRef>
              <c:f>Losses_share!$C$4:$C$5</c:f>
              <c:strCache>
                <c:ptCount val="1"/>
                <c:pt idx="0">
                  <c:v>trafo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DE7F-4E06-AB93-CEC6973F3543}"/>
              </c:ext>
            </c:extLst>
          </c:dPt>
          <c:cat>
            <c:strRef>
              <c:f>Losses_share!$A$6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Losses_share!$C$6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7F-4E06-AB93-CEC6973F3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954010031"/>
        <c:axId val="954011279"/>
      </c:barChart>
      <c:catAx>
        <c:axId val="954010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011279"/>
        <c:crosses val="autoZero"/>
        <c:auto val="1"/>
        <c:lblAlgn val="ctr"/>
        <c:lblOffset val="100"/>
        <c:noMultiLvlLbl val="0"/>
      </c:catAx>
      <c:valAx>
        <c:axId val="954011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010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[output_template.xlsm]Line_loading!Line_loading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Lines</a:t>
            </a:r>
            <a:r>
              <a:rPr lang="en-US" sz="2000" b="1" baseline="0"/>
              <a:t> Loading</a:t>
            </a:r>
            <a:endParaRPr 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470460922039641"/>
          <c:y val="0.15421888670166228"/>
          <c:w val="0.75025548739842096"/>
          <c:h val="0.70620379483814522"/>
        </c:manualLayout>
      </c:layout>
      <c:lineChart>
        <c:grouping val="standard"/>
        <c:varyColors val="0"/>
        <c:ser>
          <c:idx val="0"/>
          <c:order val="0"/>
          <c:tx>
            <c:strRef>
              <c:f>Line_loading!$B$5</c:f>
              <c:strCache>
                <c:ptCount val="1"/>
                <c:pt idx="0">
                  <c:v>Max of loading_percent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Line_loading!$A$6:$A$7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Line_loading!$B$6:$B$7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C0-4C27-96F9-A7E32C1A0C97}"/>
            </c:ext>
          </c:extLst>
        </c:ser>
        <c:ser>
          <c:idx val="1"/>
          <c:order val="1"/>
          <c:tx>
            <c:strRef>
              <c:f>Line_loading!$C$5</c:f>
              <c:strCache>
                <c:ptCount val="1"/>
                <c:pt idx="0">
                  <c:v>Average of loading_percent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Line_loading!$A$6:$A$7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Line_loading!$C$6:$C$7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C0-4C27-96F9-A7E32C1A0C97}"/>
            </c:ext>
          </c:extLst>
        </c:ser>
        <c:ser>
          <c:idx val="2"/>
          <c:order val="2"/>
          <c:tx>
            <c:strRef>
              <c:f>Line_loading!$D$5</c:f>
              <c:strCache>
                <c:ptCount val="1"/>
                <c:pt idx="0">
                  <c:v>Min of loading_percent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Line_loading!$A$6:$A$7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Line_loading!$D$6:$D$7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C0-4C27-96F9-A7E32C1A0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0470448"/>
        <c:axId val="1790471280"/>
      </c:lineChart>
      <c:catAx>
        <c:axId val="1790470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0471280"/>
        <c:crosses val="autoZero"/>
        <c:auto val="1"/>
        <c:lblAlgn val="ctr"/>
        <c:lblOffset val="100"/>
        <c:noMultiLvlLbl val="0"/>
      </c:catAx>
      <c:valAx>
        <c:axId val="179047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Loading</a:t>
                </a:r>
                <a:r>
                  <a:rPr lang="en-US" sz="1400" baseline="0"/>
                  <a:t>  Percent [%]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047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028226420182486"/>
          <c:y val="0.14697588582677165"/>
          <c:w val="0.1227708459125683"/>
          <c:h val="0.808183781714785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[output_template.xlsm]Trafo_loading!Trafo_loading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Transformers</a:t>
            </a:r>
            <a:r>
              <a:rPr lang="en-US" sz="2000" b="1" baseline="0"/>
              <a:t> Loading</a:t>
            </a:r>
            <a:endParaRPr 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270028006854173"/>
          <c:y val="0.15881971784776902"/>
          <c:w val="0.74168659760725175"/>
          <c:h val="0.68700213254593179"/>
        </c:manualLayout>
      </c:layout>
      <c:lineChart>
        <c:grouping val="standard"/>
        <c:varyColors val="0"/>
        <c:ser>
          <c:idx val="0"/>
          <c:order val="0"/>
          <c:tx>
            <c:strRef>
              <c:f>Trafo_loading!$B$5</c:f>
              <c:strCache>
                <c:ptCount val="1"/>
                <c:pt idx="0">
                  <c:v>Max of loading_percent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Trafo_loading!$A$6:$A$7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Trafo_loading!$B$6:$B$7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A5-4D4B-B9A8-C4ACBB54A03F}"/>
            </c:ext>
          </c:extLst>
        </c:ser>
        <c:ser>
          <c:idx val="1"/>
          <c:order val="1"/>
          <c:tx>
            <c:strRef>
              <c:f>Trafo_loading!$C$5</c:f>
              <c:strCache>
                <c:ptCount val="1"/>
                <c:pt idx="0">
                  <c:v>Average of loading_percent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Trafo_loading!$A$6:$A$7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Trafo_loading!$C$6:$C$7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A5-4D4B-B9A8-C4ACBB54A03F}"/>
            </c:ext>
          </c:extLst>
        </c:ser>
        <c:ser>
          <c:idx val="2"/>
          <c:order val="2"/>
          <c:tx>
            <c:strRef>
              <c:f>Trafo_loading!$D$5</c:f>
              <c:strCache>
                <c:ptCount val="1"/>
                <c:pt idx="0">
                  <c:v>Min of loading_percent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Trafo_loading!$A$6:$A$7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Trafo_loading!$D$6:$D$7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A5-4D4B-B9A8-C4ACBB54A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7438256"/>
        <c:axId val="2077438672"/>
      </c:lineChart>
      <c:catAx>
        <c:axId val="207743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7438672"/>
        <c:crosses val="autoZero"/>
        <c:auto val="1"/>
        <c:lblAlgn val="ctr"/>
        <c:lblOffset val="100"/>
        <c:noMultiLvlLbl val="0"/>
      </c:catAx>
      <c:valAx>
        <c:axId val="207743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Loading Percent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743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53746757986616"/>
          <c:y val="0.14697592601047846"/>
          <c:w val="0.12765870982103569"/>
          <c:h val="0.728322869729568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0</xdr:rowOff>
        </xdr:from>
        <xdr:to>
          <xdr:col>4</xdr:col>
          <xdr:colOff>579120</xdr:colOff>
          <xdr:row>4</xdr:row>
          <xdr:rowOff>167640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Unhide Sheets with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5</xdr:row>
          <xdr:rowOff>15240</xdr:rowOff>
        </xdr:from>
        <xdr:to>
          <xdr:col>4</xdr:col>
          <xdr:colOff>571500</xdr:colOff>
          <xdr:row>6</xdr:row>
          <xdr:rowOff>167640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Sheets with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</xdr:colOff>
          <xdr:row>2</xdr:row>
          <xdr:rowOff>144780</xdr:rowOff>
        </xdr:from>
        <xdr:to>
          <xdr:col>8</xdr:col>
          <xdr:colOff>571500</xdr:colOff>
          <xdr:row>6</xdr:row>
          <xdr:rowOff>160020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Dahsboard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539260</xdr:colOff>
      <xdr:row>6</xdr:row>
      <xdr:rowOff>0</xdr:rowOff>
    </xdr:from>
    <xdr:to>
      <xdr:col>21</xdr:col>
      <xdr:colOff>490274</xdr:colOff>
      <xdr:row>26</xdr:row>
      <xdr:rowOff>119743</xdr:rowOff>
    </xdr:to>
    <xdr:graphicFrame macro="">
      <xdr:nvGraphicFramePr>
        <xdr:cNvPr id="6" name="Demand_ts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544286</xdr:colOff>
      <xdr:row>27</xdr:row>
      <xdr:rowOff>68037</xdr:rowOff>
    </xdr:from>
    <xdr:to>
      <xdr:col>21</xdr:col>
      <xdr:colOff>495300</xdr:colOff>
      <xdr:row>48</xdr:row>
      <xdr:rowOff>10887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489862</xdr:colOff>
      <xdr:row>6</xdr:row>
      <xdr:rowOff>0</xdr:rowOff>
    </xdr:from>
    <xdr:to>
      <xdr:col>29</xdr:col>
      <xdr:colOff>163291</xdr:colOff>
      <xdr:row>26</xdr:row>
      <xdr:rowOff>119743</xdr:rowOff>
    </xdr:to>
    <xdr:graphicFrame macro="">
      <xdr:nvGraphicFramePr>
        <xdr:cNvPr id="11" name="Demand_zon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530686</xdr:colOff>
      <xdr:row>27</xdr:row>
      <xdr:rowOff>68036</xdr:rowOff>
    </xdr:from>
    <xdr:to>
      <xdr:col>29</xdr:col>
      <xdr:colOff>204115</xdr:colOff>
      <xdr:row>48</xdr:row>
      <xdr:rowOff>10886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530678</xdr:colOff>
      <xdr:row>48</xdr:row>
      <xdr:rowOff>78457</xdr:rowOff>
    </xdr:from>
    <xdr:to>
      <xdr:col>21</xdr:col>
      <xdr:colOff>481692</xdr:colOff>
      <xdr:row>69</xdr:row>
      <xdr:rowOff>19460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544294</xdr:colOff>
      <xdr:row>48</xdr:row>
      <xdr:rowOff>73250</xdr:rowOff>
    </xdr:from>
    <xdr:to>
      <xdr:col>29</xdr:col>
      <xdr:colOff>156763</xdr:colOff>
      <xdr:row>69</xdr:row>
      <xdr:rowOff>14253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545629</xdr:colOff>
      <xdr:row>69</xdr:row>
      <xdr:rowOff>75265</xdr:rowOff>
    </xdr:from>
    <xdr:to>
      <xdr:col>16</xdr:col>
      <xdr:colOff>368769</xdr:colOff>
      <xdr:row>89</xdr:row>
      <xdr:rowOff>158050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385705</xdr:colOff>
      <xdr:row>69</xdr:row>
      <xdr:rowOff>94083</xdr:rowOff>
    </xdr:from>
    <xdr:to>
      <xdr:col>30</xdr:col>
      <xdr:colOff>3200</xdr:colOff>
      <xdr:row>89</xdr:row>
      <xdr:rowOff>176867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47.543825578701" createdVersion="8" refreshedVersion="8" minRefreshableVersion="3" recordCount="8" xr:uid="{B756933E-4974-4A10-85DC-6D767B351EE5}">
  <cacheSource type="worksheet">
    <worksheetSource name="Data"/>
  </cacheSource>
  <cacheFields count="44">
    <cacheField name="step" numFmtId="0">
      <sharedItems containsSemiMixedTypes="0" containsString="0" containsNumber="1" containsInteger="1" minValue="0" maxValue="0" count="1">
        <n v="0"/>
      </sharedItems>
    </cacheField>
    <cacheField name="index" numFmtId="0">
      <sharedItems containsSemiMixedTypes="0" containsString="0" containsNumber="1" containsInteger="1" minValue="0" maxValue="0"/>
    </cacheField>
    <cacheField name="scenario" numFmtId="0">
      <sharedItems containsSemiMixedTypes="0" containsString="0" containsNumber="1" containsInteger="1" minValue="0" maxValue="0" count="1">
        <n v="0"/>
      </sharedItems>
    </cacheField>
    <cacheField name="zone" numFmtId="0">
      <sharedItems containsSemiMixedTypes="0" containsString="0" containsNumber="1" containsInteger="1" minValue="0" maxValue="0" count="1">
        <n v="0"/>
      </sharedItems>
    </cacheField>
    <cacheField name="name" numFmtId="0">
      <sharedItems containsSemiMixedTypes="0" containsString="0" containsNumber="1" containsInteger="1" minValue="0" maxValue="0"/>
    </cacheField>
    <cacheField name="vn_kv" numFmtId="0">
      <sharedItems containsSemiMixedTypes="0" containsString="0" containsNumber="1" containsInteger="1" minValue="0" maxValue="0"/>
    </cacheField>
    <cacheField name="in_service" numFmtId="0">
      <sharedItems containsSemiMixedTypes="0" containsString="0" containsNumber="1" containsInteger="1" minValue="0" maxValue="0"/>
    </cacheField>
    <cacheField name="vm_pu" numFmtId="0">
      <sharedItems containsSemiMixedTypes="0" containsString="0" containsNumber="1" containsInteger="1" minValue="0" maxValue="0"/>
    </cacheField>
    <cacheField name="va_degree" numFmtId="0">
      <sharedItems containsSemiMixedTypes="0" containsString="0" containsNumber="1" containsInteger="1" minValue="0" maxValue="0"/>
    </cacheField>
    <cacheField name="p_mw" numFmtId="0">
      <sharedItems containsSemiMixedTypes="0" containsString="0" containsNumber="1" containsInteger="1" minValue="0" maxValue="0"/>
    </cacheField>
    <cacheField name="q_mvar" numFmtId="0">
      <sharedItems containsSemiMixedTypes="0" containsString="0" containsNumber="1" containsInteger="1" minValue="0" maxValue="0"/>
    </cacheField>
    <cacheField name="element" numFmtId="0">
      <sharedItems containsMixedTypes="1" containsNumber="1" containsInteger="1" minValue="0" maxValue="0" count="8">
        <s v="load"/>
        <s v="gen"/>
        <s v="sgen"/>
        <s v="ext_grid"/>
        <s v="bus"/>
        <s v="line"/>
        <s v="trafo"/>
        <n v="0" u="1"/>
      </sharedItems>
    </cacheField>
    <cacheField name="bus" numFmtId="0">
      <sharedItems containsSemiMixedTypes="0" containsString="0" containsNumber="1" containsInteger="1" minValue="0" maxValue="0"/>
    </cacheField>
    <cacheField name="type" numFmtId="0">
      <sharedItems containsSemiMixedTypes="0" containsString="0" containsNumber="1" containsInteger="1" minValue="0" maxValue="0"/>
    </cacheField>
    <cacheField name="fuel" numFmtId="0">
      <sharedItems containsSemiMixedTypes="0" containsString="0" containsNumber="1" containsInteger="1" minValue="0" maxValue="0" count="1">
        <n v="0"/>
      </sharedItems>
    </cacheField>
    <cacheField name="max_p_mw" numFmtId="0">
      <sharedItems containsSemiMixedTypes="0" containsString="0" containsNumber="1" containsInteger="1" minValue="0" maxValue="0"/>
    </cacheField>
    <cacheField name="max_q_mvar" numFmtId="0">
      <sharedItems containsSemiMixedTypes="0" containsString="0" containsNumber="1" containsInteger="1" minValue="0" maxValue="0"/>
    </cacheField>
    <cacheField name="min_p_mw" numFmtId="0">
      <sharedItems containsSemiMixedTypes="0" containsString="0" containsNumber="1" containsInteger="1" minValue="0" maxValue="0"/>
    </cacheField>
    <cacheField name="min_q_mvar" numFmtId="0">
      <sharedItems containsSemiMixedTypes="0" containsString="0" containsNumber="1" containsInteger="1" minValue="0" maxValue="0"/>
    </cacheField>
    <cacheField name="from_bus" numFmtId="0">
      <sharedItems containsSemiMixedTypes="0" containsString="0" containsNumber="1" containsInteger="1" minValue="0" maxValue="0"/>
    </cacheField>
    <cacheField name="to_bus" numFmtId="0">
      <sharedItems containsSemiMixedTypes="0" containsString="0" containsNumber="1" containsInteger="1" minValue="0" maxValue="0"/>
    </cacheField>
    <cacheField name="length_km" numFmtId="0">
      <sharedItems containsSemiMixedTypes="0" containsString="0" containsNumber="1" containsInteger="1" minValue="0" maxValue="0"/>
    </cacheField>
    <cacheField name="max_i_ka" numFmtId="0">
      <sharedItems containsSemiMixedTypes="0" containsString="0" containsNumber="1" containsInteger="1" minValue="0" maxValue="0"/>
    </cacheField>
    <cacheField name="max_loading_percent" numFmtId="0">
      <sharedItems containsSemiMixedTypes="0" containsString="0" containsNumber="1" containsInteger="1" minValue="0" maxValue="0"/>
    </cacheField>
    <cacheField name="parallel" numFmtId="0">
      <sharedItems containsSemiMixedTypes="0" containsString="0" containsNumber="1" containsInteger="1" minValue="0" maxValue="0"/>
    </cacheField>
    <cacheField name="std_type" numFmtId="0">
      <sharedItems containsSemiMixedTypes="0" containsString="0" containsNumber="1" containsInteger="1" minValue="0" maxValue="0"/>
    </cacheField>
    <cacheField name="p_from_mw" numFmtId="0">
      <sharedItems containsSemiMixedTypes="0" containsString="0" containsNumber="1" containsInteger="1" minValue="0" maxValue="0"/>
    </cacheField>
    <cacheField name="q_from_mvar" numFmtId="0">
      <sharedItems containsSemiMixedTypes="0" containsString="0" containsNumber="1" containsInteger="1" minValue="0" maxValue="0"/>
    </cacheField>
    <cacheField name="p_to_mw" numFmtId="0">
      <sharedItems containsSemiMixedTypes="0" containsString="0" containsNumber="1" containsInteger="1" minValue="0" maxValue="0"/>
    </cacheField>
    <cacheField name="q_to_mvar" numFmtId="0">
      <sharedItems containsSemiMixedTypes="0" containsString="0" containsNumber="1" containsInteger="1" minValue="0" maxValue="0"/>
    </cacheField>
    <cacheField name="pl_mw" numFmtId="0">
      <sharedItems containsSemiMixedTypes="0" containsString="0" containsNumber="1" containsInteger="1" minValue="0" maxValue="0"/>
    </cacheField>
    <cacheField name="ql_mvar" numFmtId="0">
      <sharedItems containsSemiMixedTypes="0" containsString="0" containsNumber="1" containsInteger="1" minValue="0" maxValue="0"/>
    </cacheField>
    <cacheField name="loading_percent" numFmtId="0">
      <sharedItems containsSemiMixedTypes="0" containsString="0" containsNumber="1" containsInteger="1" minValue="0" maxValue="0"/>
    </cacheField>
    <cacheField name="hv_bus" numFmtId="0">
      <sharedItems containsSemiMixedTypes="0" containsString="0" containsNumber="1" containsInteger="1" minValue="0" maxValue="0"/>
    </cacheField>
    <cacheField name="lv_bus" numFmtId="0">
      <sharedItems containsSemiMixedTypes="0" containsString="0" containsNumber="1" containsInteger="1" minValue="0" maxValue="0"/>
    </cacheField>
    <cacheField name="vn_hv_kv" numFmtId="0">
      <sharedItems containsSemiMixedTypes="0" containsString="0" containsNumber="1" containsInteger="1" minValue="0" maxValue="0"/>
    </cacheField>
    <cacheField name="vn_lv_kv" numFmtId="0">
      <sharedItems containsSemiMixedTypes="0" containsString="0" containsNumber="1" containsInteger="1" minValue="0" maxValue="0"/>
    </cacheField>
    <cacheField name="pfe_kw" numFmtId="0">
      <sharedItems containsSemiMixedTypes="0" containsString="0" containsNumber="1" containsInteger="1" minValue="0" maxValue="0"/>
    </cacheField>
    <cacheField name="shift_degree" numFmtId="0">
      <sharedItems containsSemiMixedTypes="0" containsString="0" containsNumber="1" containsInteger="1" minValue="0" maxValue="0"/>
    </cacheField>
    <cacheField name="tap_pos" numFmtId="0">
      <sharedItems containsSemiMixedTypes="0" containsString="0" containsNumber="1" containsInteger="1" minValue="0" maxValue="0"/>
    </cacheField>
    <cacheField name="p_hv_mw" numFmtId="0">
      <sharedItems containsSemiMixedTypes="0" containsString="0" containsNumber="1" containsInteger="1" minValue="0" maxValue="0"/>
    </cacheField>
    <cacheField name="q_hv_mvar" numFmtId="0">
      <sharedItems containsSemiMixedTypes="0" containsString="0" containsNumber="1" containsInteger="1" minValue="0" maxValue="0"/>
    </cacheField>
    <cacheField name="p_lv_mw" numFmtId="0">
      <sharedItems containsSemiMixedTypes="0" containsString="0" containsNumber="1" containsInteger="1" minValue="0" maxValue="0"/>
    </cacheField>
    <cacheField name="q_lv_mvar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6814987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n v="0"/>
    <x v="0"/>
    <x v="0"/>
    <n v="0"/>
    <n v="0"/>
    <n v="0"/>
    <n v="0"/>
    <n v="0"/>
    <n v="0"/>
    <n v="0"/>
    <x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1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2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3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4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5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6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4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8DB0CF-F0B8-4072-9B03-D9460DB056F8}" name="Demand_ts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C7" firstHeaderRow="1" firstDataRow="2" firstDataCol="1" rowPageCount="2" colPageCount="1"/>
  <pivotFields count="44">
    <pivotField axis="axisRow"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axis="axisPage" showAll="0">
      <items count="9">
        <item m="1" x="7"/>
        <item x="4"/>
        <item x="1"/>
        <item x="2"/>
        <item x="3"/>
        <item x="5"/>
        <item x="6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1">
    <field x="3"/>
  </colFields>
  <colItems count="2">
    <i>
      <x/>
    </i>
    <i t="grand">
      <x/>
    </i>
  </colItems>
  <pageFields count="2">
    <pageField fld="11" item="7" hier="-1"/>
    <pageField fld="2" hier="-1"/>
  </pageFields>
  <dataFields count="1">
    <dataField name="Sum of p_mw" fld="9" baseField="0" baseItem="0"/>
  </dataFields>
  <chartFormats count="1"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79C86A-051C-4413-91AE-203594AECA2E}" name="Demand_zone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4:C6" firstHeaderRow="1" firstDataRow="2" firstDataCol="1" rowPageCount="2" colPageCount="1"/>
  <pivotFields count="44">
    <pivotField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axis="axisPage" showAll="0">
      <items count="9">
        <item m="1" x="7"/>
        <item x="4"/>
        <item x="1"/>
        <item x="2"/>
        <item x="3"/>
        <item x="5"/>
        <item x="6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3"/>
  </colFields>
  <colItems count="2">
    <i>
      <x/>
    </i>
    <i t="grand">
      <x/>
    </i>
  </colItems>
  <pageFields count="2">
    <pageField fld="11" item="7" hier="-1"/>
    <pageField fld="2" hier="-1"/>
  </pageFields>
  <dataFields count="1">
    <dataField name="Sum of p_mw" fld="9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510523-4B86-4A1A-B11D-76A4266D8735}" name="Gen_ts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4:D8" firstHeaderRow="1" firstDataRow="3" firstDataCol="1" rowPageCount="2" colPageCount="1"/>
  <pivotFields count="44">
    <pivotField axis="axisRow"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Col" showAll="0">
      <items count="2">
        <item n="x"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axis="axisPage" multipleItemSelectionAllowed="1" showAll="0">
      <items count="9">
        <item m="1" x="7"/>
        <item h="1" x="4"/>
        <item x="1"/>
        <item x="2"/>
        <item x="3"/>
        <item h="1" x="5"/>
        <item h="1" x="6"/>
        <item h="1" x="0"/>
        <item t="default"/>
      </items>
    </pivotField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2">
    <field x="3"/>
    <field x="14"/>
  </colFields>
  <colItems count="3">
    <i>
      <x/>
      <x/>
    </i>
    <i t="default">
      <x/>
    </i>
    <i t="grand">
      <x/>
    </i>
  </colItems>
  <pageFields count="2">
    <pageField fld="11" hier="-1"/>
    <pageField fld="2" hier="-1"/>
  </pageFields>
  <dataFields count="1">
    <dataField name="Sum of p_mw" fld="9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6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1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A4AFD5-F7CF-4C22-A124-91AF45CF5194}" name="Gen_fuel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4:D7" firstHeaderRow="1" firstDataRow="3" firstDataCol="1" rowPageCount="2" colPageCount="1"/>
  <pivotFields count="44">
    <pivotField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Col" showAll="0">
      <items count="2">
        <item n="x"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axis="axisPage" multipleItemSelectionAllowed="1" showAll="0">
      <items count="9">
        <item m="1" x="7"/>
        <item h="1" x="4"/>
        <item x="1"/>
        <item x="2"/>
        <item x="3"/>
        <item h="1" x="5"/>
        <item h="1" x="6"/>
        <item h="1" x="0"/>
        <item t="default"/>
      </items>
    </pivotField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2">
    <field x="3"/>
    <field x="14"/>
  </colFields>
  <colItems count="3">
    <i>
      <x/>
      <x/>
    </i>
    <i t="default">
      <x/>
    </i>
    <i t="grand">
      <x/>
    </i>
  </colItems>
  <pageFields count="2">
    <pageField fld="11" hier="-1"/>
    <pageField fld="2" hier="-1"/>
  </pageFields>
  <dataFields count="1">
    <dataField name="Sum of p_mw" fld="9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6" format="3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14" count="1" selected="0">
            <x v="0"/>
          </reference>
        </references>
      </pivotArea>
    </chartFormat>
    <chartFormat chart="6" format="4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1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FE3CD1-8741-4B4F-BEA5-603ACE95FC79}" name="Losses_ts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4:C7" firstHeaderRow="1" firstDataRow="2" firstDataCol="1" rowPageCount="2" colPageCount="1"/>
  <pivotFields count="44">
    <pivotField axis="axisRow"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Col" showAll="0">
      <items count="2">
        <item n="x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m="1" x="7"/>
        <item h="1" x="4"/>
        <item h="1" x="1"/>
        <item h="1" x="2"/>
        <item h="1" x="3"/>
        <item x="5"/>
        <item x="6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1">
    <field x="3"/>
  </colFields>
  <colItems count="2">
    <i>
      <x/>
    </i>
    <i t="grand">
      <x/>
    </i>
  </colItems>
  <pageFields count="2">
    <pageField fld="2" hier="-1"/>
    <pageField fld="11" hier="-1"/>
  </pageFields>
  <dataFields count="1">
    <dataField name="Sum of pl_mw" fld="30" baseField="0" baseItem="0"/>
  </dataFields>
  <chartFormats count="1"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4B0C6A-68ED-4D33-9AAA-65BEF34BD41C}" name="Losses_share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4:D6" firstHeaderRow="1" firstDataRow="2" firstDataCol="1" rowPageCount="2" colPageCount="1"/>
  <pivotFields count="44">
    <pivotField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Page" showAll="0">
      <items count="2">
        <item n="x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multipleItemSelectionAllowed="1" showAll="0">
      <items count="9">
        <item m="1" x="7"/>
        <item h="1" x="4"/>
        <item h="1" x="1"/>
        <item h="1" x="2"/>
        <item h="1" x="3"/>
        <item x="5"/>
        <item x="6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11"/>
  </colFields>
  <colItems count="3">
    <i>
      <x v="5"/>
    </i>
    <i>
      <x v="6"/>
    </i>
    <i t="grand">
      <x/>
    </i>
  </colItems>
  <pageFields count="2">
    <pageField fld="2" hier="-1"/>
    <pageField fld="3" hier="-1"/>
  </pageFields>
  <dataFields count="1">
    <dataField name="Sum of pl_mw" fld="30" baseField="0" baseItem="0"/>
  </dataFields>
  <chartFormats count="13"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6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8" format="3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8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6"/>
          </reference>
        </references>
      </pivotArea>
    </chartFormat>
    <chartFormat chart="8" format="5">
      <pivotArea type="data" outline="0" fieldPosition="0">
        <references count="2">
          <reference field="4294967294" count="1" selected="0">
            <x v="0"/>
          </reference>
          <reference field="11" count="1" selected="0">
            <x v="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9" format="7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9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6"/>
          </reference>
        </references>
      </pivotArea>
    </chartFormat>
    <chartFormat chart="9" format="9">
      <pivotArea type="data" outline="0" fieldPosition="0">
        <references count="2">
          <reference field="4294967294" count="1" selected="0">
            <x v="0"/>
          </reference>
          <reference field="1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69CAC5-C0F1-4A68-BCA2-1671430A0D88}" name="Line_loading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A5:D7" firstHeaderRow="0" firstDataRow="1" firstDataCol="1" rowPageCount="3" colPageCount="1"/>
  <pivotFields count="44">
    <pivotField axis="axisRow"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Page" showAll="0">
      <items count="2">
        <item n="x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m="1" x="7"/>
        <item h="1" x="4"/>
        <item h="1" x="1"/>
        <item h="1" x="2"/>
        <item h="1" x="3"/>
        <item x="5"/>
        <item h="1" x="6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2" hier="-1"/>
    <pageField fld="11" hier="-1"/>
    <pageField fld="3" hier="-1"/>
  </pageFields>
  <dataFields count="3">
    <dataField name="Max of loading_percent" fld="32" subtotal="max" baseField="0" baseItem="0"/>
    <dataField name="Average of loading_percent" fld="32" subtotal="average" baseField="0" baseItem="0"/>
    <dataField name="Min of loading_percent" fld="32" subtotal="min" baseField="0" baseItem="0"/>
  </dataFields>
  <chartFormats count="3">
    <chartFormat chart="9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3D794A-6E61-48B7-B390-CD1C15FF9760}" name="Trafo_loading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4">
  <location ref="A5:D7" firstHeaderRow="0" firstDataRow="1" firstDataCol="1" rowPageCount="3" colPageCount="1"/>
  <pivotFields count="44">
    <pivotField axis="axisRow"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Page" showAll="0">
      <items count="2">
        <item n="x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m="1" x="7"/>
        <item h="1" x="4"/>
        <item h="1" x="1"/>
        <item h="1" x="2"/>
        <item h="1" x="3"/>
        <item h="1" x="5"/>
        <item x="6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2" hier="-1"/>
    <pageField fld="11" hier="-1"/>
    <pageField fld="3" hier="-1"/>
  </pageFields>
  <dataFields count="3">
    <dataField name="Max of loading_percent" fld="32" subtotal="max" baseField="0" baseItem="0"/>
    <dataField name="Average of loading_percent" fld="32" subtotal="average" baseField="0" baseItem="0"/>
    <dataField name="Min of loading_percent" fld="32" subtotal="min" baseField="0" baseItem="0"/>
  </dataFields>
  <chartFormats count="6">
    <chartFormat chart="9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0524AC-4D0C-4F6F-A520-5F2E811A4CE7}" name="Demand" displayName="Demand" ref="C4:K5" insertRow="1" totalsRowShown="0" headerRowDxfId="46">
  <autoFilter ref="C4:K5" xr:uid="{F70524AC-4D0C-4F6F-A520-5F2E811A4CE7}"/>
  <tableColumns count="9">
    <tableColumn id="8" xr3:uid="{F2EDA2BF-F8AF-4203-B2F3-7B905739D61D}" name="step"/>
    <tableColumn id="2" xr3:uid="{B772E291-FFCF-435F-BA86-441C27B45317}" name="index"/>
    <tableColumn id="6" xr3:uid="{F34866B0-8C59-4E6A-971A-410FD72E665F}" name="scenario"/>
    <tableColumn id="9" xr3:uid="{FF71EFE4-42BF-419B-90C7-B2A6B8AF3B26}" name="name"/>
    <tableColumn id="7" xr3:uid="{51FA998E-794F-4903-8982-6AB87FDFE77A}" name="zone"/>
    <tableColumn id="3" xr3:uid="{6C6B97D0-7EF6-44F8-8BAB-29DB21730B68}" name="bus"/>
    <tableColumn id="4" xr3:uid="{9F72CD68-B40A-4A8D-B4B7-43E4B2AD837F}" name="in_service"/>
    <tableColumn id="1" xr3:uid="{4BA7201C-B163-4D52-A081-7565D1A6567D}" name="p_mw"/>
    <tableColumn id="5" xr3:uid="{75B471B4-A0A7-4436-9F33-431221CACB81}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D7C8-06B8-4AD2-9918-9A9EC5FBCE6A}" name="Generation" displayName="Generation" ref="C4:R5" insertRow="1" totalsRowShown="0" headerRowDxfId="45">
  <autoFilter ref="C4:R5" xr:uid="{40ACD7C8-06B8-4AD2-9918-9A9EC5FBCE6A}"/>
  <tableColumns count="16">
    <tableColumn id="16" xr3:uid="{FD185B91-B49F-4E9A-9642-5A784F589DF7}" name="Step"/>
    <tableColumn id="12" xr3:uid="{E4E850D8-E7A0-480C-818B-F24B641F7A3C}" name="index" dataDxfId="44"/>
    <tableColumn id="13" xr3:uid="{CE11B4F1-069D-41C5-B837-20DBEE65490C}" name="scenario" dataDxfId="43"/>
    <tableColumn id="1" xr3:uid="{1D308122-CF3C-45A3-A0E8-6BFFBF1E2E0A}" name="zone"/>
    <tableColumn id="2" xr3:uid="{7F7D4208-FA89-433B-8D20-8B82046C31BF}" name="name"/>
    <tableColumn id="14" xr3:uid="{BFB11B01-34E2-4E2E-89F2-B4A22EF85F4E}" name="type"/>
    <tableColumn id="15" xr3:uid="{8AB767E0-F162-4365-88BE-6017F79A4662}" name="bus"/>
    <tableColumn id="7" xr3:uid="{603585BA-20E7-4255-A8F3-8034E5940696}" name="in_service"/>
    <tableColumn id="3" xr3:uid="{37122E40-ED5E-4D80-93E0-256882715872}" name="fuel"/>
    <tableColumn id="4" xr3:uid="{D8956929-3F41-4D51-BE4F-2774341E552B}" name="vm_pu"/>
    <tableColumn id="5" xr3:uid="{A425E759-2D69-4D84-A148-E76C43AF6FA4}" name="max_p_mw"/>
    <tableColumn id="6" xr3:uid="{6F6664F2-9163-460C-8A58-072E5EF9D107}" name="max_q_mw"/>
    <tableColumn id="8" xr3:uid="{9F1EE02A-F9F1-4A32-8060-35B395A80221}" name="min_p_mw"/>
    <tableColumn id="9" xr3:uid="{5D1D5079-A3F5-4BCC-AC85-2C99B8353583}" name="min_q_mvar"/>
    <tableColumn id="10" xr3:uid="{81510E49-FAD2-4E19-910E-92EA6DE45564}" name="p_mw "/>
    <tableColumn id="11" xr3:uid="{1E60D8A6-4081-4E86-8EBE-BD2051C72844}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E76C2C-375C-47C1-A9AD-8417B088B6FC}" name="Buses" displayName="Buses" ref="C4:M5" insertRow="1" totalsRowShown="0">
  <autoFilter ref="C4:M5" xr:uid="{99E76C2C-375C-47C1-A9AD-8417B088B6FC}"/>
  <tableColumns count="11">
    <tableColumn id="10" xr3:uid="{4B4D838B-4D4B-4447-AA54-623C16D775A5}" name="step"/>
    <tableColumn id="1" xr3:uid="{8D5D3D19-C9FB-4B3C-9A8E-18DDDD81AA15}" name="index"/>
    <tableColumn id="11" xr3:uid="{AA18DDFC-F29B-405C-B46F-6B0211BCD99C}" name="scenario"/>
    <tableColumn id="2" xr3:uid="{3244D43A-F10E-4F78-A09B-57897246BB52}" name="zone"/>
    <tableColumn id="3" xr3:uid="{5EDAC410-257E-44EA-9971-35109AF46BCE}" name="name"/>
    <tableColumn id="4" xr3:uid="{3BF104E3-A830-40EC-A511-F013E919C2F8}" name="vn_kv"/>
    <tableColumn id="5" xr3:uid="{BD0F4BDD-012D-46A6-BBBD-5EFF4DD90846}" name="in_service"/>
    <tableColumn id="6" xr3:uid="{023E00F8-310E-4EA9-974D-D0DE79DD2C16}" name="vm_pu"/>
    <tableColumn id="7" xr3:uid="{603776BD-14E0-4986-BF52-DEE30506D295}" name="va_degree"/>
    <tableColumn id="8" xr3:uid="{D39259F2-EC0F-41AC-BC8E-F99C4C810B73}" name="p_mw"/>
    <tableColumn id="9" xr3:uid="{4AFB9204-6B8E-44A1-8DF2-59B09068BDBC}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8232FA-505B-4CE4-B934-04B27D52E9CB}" name="Lines" displayName="Lines" ref="C4:V5" insertRow="1" totalsRowShown="0">
  <autoFilter ref="C4:V5" xr:uid="{EE8232FA-505B-4CE4-B934-04B27D52E9CB}"/>
  <tableColumns count="20">
    <tableColumn id="19" xr3:uid="{54142960-63F9-4F3B-9473-5E4553BD8277}" name="step"/>
    <tableColumn id="1" xr3:uid="{F4CA92FE-BBA3-4697-B61E-D4DD00F4DDB7}" name="index"/>
    <tableColumn id="20" xr3:uid="{87DA94BF-43EF-4808-94B8-93F23E19E180}" name="scenario"/>
    <tableColumn id="14" xr3:uid="{01DBCA48-C0A3-4755-A24E-33F8BA6D787C}" name="zone"/>
    <tableColumn id="3" xr3:uid="{739EFFA8-D4EB-4D34-9C9C-F380FD25C900}" name="name"/>
    <tableColumn id="4" xr3:uid="{C1F8F53E-C4FA-43A7-8032-1BA1F8B8894E}" name="from_bus"/>
    <tableColumn id="5" xr3:uid="{177C481B-5352-406F-B7DF-6194A493A40A}" name="to_bus"/>
    <tableColumn id="6" xr3:uid="{88DEA9F9-8221-4743-A5EF-FB45CDB211E6}" name="in_service"/>
    <tableColumn id="8" xr3:uid="{2C394185-CB11-4891-8C5C-3F13F7A49AAC}" name="length_km"/>
    <tableColumn id="9" xr3:uid="{0F6845A4-FD06-402E-982E-C3F453C61916}" name="max_i_ka"/>
    <tableColumn id="10" xr3:uid="{767E43C9-6752-4023-9B86-F42E1ACE5C13}" name="max_loading_percent"/>
    <tableColumn id="11" xr3:uid="{98BCDFDE-9C3C-44CD-B6F2-B11F2761FAB0}" name="parallel"/>
    <tableColumn id="12" xr3:uid="{60F54634-7F0D-4289-AFAB-F67BB199A0E1}" name="std_type"/>
    <tableColumn id="13" xr3:uid="{AD4ADF57-4C5F-45F4-B5DD-3EDBDB4B7C3C}" name="p_from_mw"/>
    <tableColumn id="2" xr3:uid="{BDA4492C-3447-4FB7-BD20-F46FD6AD2E3A}" name="q_from_mvar"/>
    <tableColumn id="7" xr3:uid="{58BAFFD4-7E62-42C3-BF39-976808A12BD4}" name="p_to_mw"/>
    <tableColumn id="15" xr3:uid="{347D2202-68C8-40E3-8187-DDD1FD6515A5}" name="q_to_mvar"/>
    <tableColumn id="16" xr3:uid="{583273CD-73AF-4D6F-852A-003096CDB2A7}" name="pl_mw"/>
    <tableColumn id="17" xr3:uid="{E0F7E845-ECB3-462D-8172-42E1433228A3}" name="ql_mvar"/>
    <tableColumn id="18" xr3:uid="{0BE6F701-5460-4E4C-AFF3-1C3DCF2CD953}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A6D9FFD-CCDD-4F93-B041-EED5046675B6}" name="Trafos" displayName="Trafos" ref="C4:X5" insertRow="1" totalsRowShown="0" headerRowDxfId="42" dataDxfId="41">
  <autoFilter ref="C4:X5" xr:uid="{4A6D9FFD-CCDD-4F93-B041-EED5046675B6}"/>
  <tableColumns count="22">
    <tableColumn id="20" xr3:uid="{C4E1602D-7141-40CE-B787-D81D4476E1AB}" name="step"/>
    <tableColumn id="1" xr3:uid="{FB053CC0-0CFB-40BF-9A87-324F3ABE29A7}" name="index" dataDxfId="40" totalsRowDxfId="39"/>
    <tableColumn id="21" xr3:uid="{956DD5C8-C357-4B29-89FA-32F2E10CF7BC}" name="scenario" totalsRowDxfId="38"/>
    <tableColumn id="14" xr3:uid="{443B4109-D1B2-4010-B9ED-C161E6AFF1A8}" name="zone" dataDxfId="37" totalsRowDxfId="36"/>
    <tableColumn id="3" xr3:uid="{AED4F457-E25A-4D1D-B00F-34A4978C0F78}" name="name" dataDxfId="35" totalsRowDxfId="34"/>
    <tableColumn id="4" xr3:uid="{3C3AC128-75C3-4223-BACC-1A360EDFCDE5}" name="std_type" dataDxfId="33" totalsRowDxfId="32"/>
    <tableColumn id="5" xr3:uid="{5C767913-1D80-45C8-8C6F-7E57D189AF44}" name="hv_bus" dataDxfId="31" totalsRowDxfId="30"/>
    <tableColumn id="6" xr3:uid="{917BEB67-D7C1-4A83-96A1-F319E5A05A44}" name="lv_bus" dataDxfId="29" totalsRowDxfId="28"/>
    <tableColumn id="8" xr3:uid="{8DCB1719-ACB3-4AED-86BD-D9B68732C278}" name="vn_hv_kv" dataDxfId="27" totalsRowDxfId="26"/>
    <tableColumn id="10" xr3:uid="{62D607C6-83CF-455F-8C23-39C4B984D758}" name="vn_lv_kv" dataDxfId="25" totalsRowDxfId="24"/>
    <tableColumn id="11" xr3:uid="{D6AEC090-00BF-4CF1-ACD8-524B252EC663}" name="pfe_kw" dataDxfId="23" totalsRowDxfId="22"/>
    <tableColumn id="12" xr3:uid="{3AF3ADA4-4F57-412A-9FE8-F645C3508885}" name="shift_degree" dataDxfId="21" totalsRowDxfId="20"/>
    <tableColumn id="13" xr3:uid="{E46757C4-CE46-491E-86BE-E8A4317E6E93}" name="tap_pos" dataDxfId="19" totalsRowDxfId="18"/>
    <tableColumn id="2" xr3:uid="{C6F54DD4-2C44-4DE0-92C5-B5397E16B87A}" name="parallel" dataDxfId="17" totalsRowDxfId="16"/>
    <tableColumn id="7" xr3:uid="{60E8F0ED-D51D-42AE-B712-6D061F8D1EE0}" name="in_service" dataDxfId="15" totalsRowDxfId="14"/>
    <tableColumn id="15" xr3:uid="{3A4390BD-6B26-46A1-AE40-6398D8A806F9}" name="p_hv_mw" dataDxfId="13" totalsRowDxfId="12"/>
    <tableColumn id="16" xr3:uid="{4DD91469-F741-4D3D-948E-6556783D042C}" name="q_hv_mvar" dataDxfId="11" totalsRowDxfId="10"/>
    <tableColumn id="17" xr3:uid="{858B54E5-9CFB-4B90-84AA-07C4A8CDC8F1}" name="p_lv_mw" dataDxfId="9" totalsRowDxfId="8"/>
    <tableColumn id="18" xr3:uid="{C86231DF-FF48-47D3-A51C-74FBA23B5E0B}" name="q_lv_mvar" dataDxfId="7" totalsRowDxfId="6"/>
    <tableColumn id="23" xr3:uid="{AC6F6CA0-E489-43EB-B5EB-B1BB000C2711}" name="pl_mw" dataDxfId="5" totalsRowDxfId="4"/>
    <tableColumn id="9" xr3:uid="{0C63F6CB-B4E0-4E09-BBD7-2629F424B3EF}" name="ql_mvar" dataDxfId="3" totalsRowDxfId="2"/>
    <tableColumn id="19" xr3:uid="{2658E29B-D78D-496B-A082-3304FA22AB36}" name="loading_percent" dataDxfId="1" totalsRowDxfId="0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4449022-509C-496B-8BF2-6A8C3C64CDD3}" name="Data" displayName="Data" ref="B2:AS10" totalsRowShown="0">
  <autoFilter ref="B2:AS10" xr:uid="{F4449022-509C-496B-8BF2-6A8C3C64CDD3}"/>
  <tableColumns count="44">
    <tableColumn id="1" xr3:uid="{C03B4A52-93BC-448C-AC40-11CFD1C6375D}" name="step"/>
    <tableColumn id="2" xr3:uid="{251BB739-BDDD-4389-B786-B52E765CE0FD}" name="index"/>
    <tableColumn id="3" xr3:uid="{D3ED4DEA-3EF6-4683-A216-8EC7E83DD551}" name="scenario"/>
    <tableColumn id="4" xr3:uid="{0CC7D435-538B-4087-BB5B-FDBC0118D6B6}" name="zone"/>
    <tableColumn id="5" xr3:uid="{118BDAA0-5649-46AC-A2C9-CBD6D01A0CF0}" name="name"/>
    <tableColumn id="6" xr3:uid="{66E4625D-7B23-4113-A66C-F7F839C8D91B}" name="vn_kv"/>
    <tableColumn id="7" xr3:uid="{04DC3BEE-35A2-4E11-B5C9-B1675B5E67A8}" name="in_service"/>
    <tableColumn id="8" xr3:uid="{80C33C7A-9728-4D97-AEC5-8B51AE9E11B9}" name="vm_pu"/>
    <tableColumn id="9" xr3:uid="{9FD88AE6-E804-46F4-A6DD-D8C952B7E50F}" name="va_degree"/>
    <tableColumn id="10" xr3:uid="{030EE73F-C070-4D52-B5F2-F2CD339E7C93}" name="p_mw"/>
    <tableColumn id="11" xr3:uid="{7A5F63A8-C25A-4523-B1C0-C4961A6FF3C8}" name="q_mvar"/>
    <tableColumn id="12" xr3:uid="{174D6746-ED57-431F-95C0-934B05E59A16}" name="element"/>
    <tableColumn id="13" xr3:uid="{15568120-81CE-4AED-AC5B-6EC0FFB2DC01}" name="bus"/>
    <tableColumn id="14" xr3:uid="{0C453628-0C6A-4686-A47B-110B3ACEFA44}" name="type"/>
    <tableColumn id="15" xr3:uid="{D5B6E2C2-F807-4DB7-9D80-694CCCA60878}" name="fuel"/>
    <tableColumn id="16" xr3:uid="{E488D743-40A4-4FA1-8F37-40669A0E0AD2}" name="max_p_mw"/>
    <tableColumn id="17" xr3:uid="{DF1738F8-68AF-450E-8D1C-D086EE1AC2A8}" name="max_q_mvar"/>
    <tableColumn id="18" xr3:uid="{D74E1BAD-8CF3-4061-BBD5-C92C1D72A687}" name="min_p_mw"/>
    <tableColumn id="19" xr3:uid="{916E0300-5D7F-4DB3-9224-9FD664D09DC3}" name="min_q_mvar"/>
    <tableColumn id="20" xr3:uid="{56B5E52F-DFBB-4165-A8DF-F03F2308CF5F}" name="from_bus"/>
    <tableColumn id="21" xr3:uid="{6E2B0F62-8090-4734-AD88-D649B2AF021F}" name="to_bus"/>
    <tableColumn id="22" xr3:uid="{4A52CD03-672F-417E-9345-9102D5AE4A4D}" name="length_km"/>
    <tableColumn id="23" xr3:uid="{3062925A-810E-4FF2-9E3C-3468F01D60BB}" name="max_i_ka"/>
    <tableColumn id="24" xr3:uid="{DAD680DF-DEDE-4B39-8421-C5147F8B31AA}" name="max_loading_percent"/>
    <tableColumn id="25" xr3:uid="{8250D0AD-0557-432E-84A4-BB9AB721DC1F}" name="parallel"/>
    <tableColumn id="26" xr3:uid="{C092286F-9598-4E56-AFB9-F168831933A5}" name="std_type"/>
    <tableColumn id="27" xr3:uid="{F0E09303-B008-4BEF-BE02-A330F6F881CE}" name="p_from_mw"/>
    <tableColumn id="28" xr3:uid="{EF915F13-23FF-4093-BE3E-E9DEE6FE0888}" name="q_from_mvar"/>
    <tableColumn id="29" xr3:uid="{AD3F7F17-DA1F-482D-A391-A7BA2B93CF12}" name="p_to_mw"/>
    <tableColumn id="30" xr3:uid="{21AAEEE0-4972-48E2-9041-69E466409652}" name="q_to_mvar"/>
    <tableColumn id="31" xr3:uid="{36BCC68A-94EC-4372-8498-E56E90A19F95}" name="pl_mw"/>
    <tableColumn id="32" xr3:uid="{DFDFADCF-3586-4A53-A50A-40615D6D3A47}" name="ql_mvar"/>
    <tableColumn id="33" xr3:uid="{58C31619-DBED-453D-916C-8F831593B7F3}" name="loading_percent"/>
    <tableColumn id="34" xr3:uid="{D1AB3743-9CD6-4458-B7B2-8842F9CE1C55}" name="hv_bus"/>
    <tableColumn id="35" xr3:uid="{E1D5257F-F065-4A65-A3CE-22E661095446}" name="lv_bus"/>
    <tableColumn id="36" xr3:uid="{4EC426FC-617B-47BD-937C-3BFA9D951752}" name="vn_hv_kv"/>
    <tableColumn id="37" xr3:uid="{569613F6-8D2D-49CD-B345-F3C54EE1F3BE}" name="vn_lv_kv"/>
    <tableColumn id="38" xr3:uid="{3A01C89E-767A-41D7-B790-E757E00D79FA}" name="pfe_kw"/>
    <tableColumn id="39" xr3:uid="{A921715E-728B-4AB0-A6D7-F1F0129D4823}" name="shift_degree"/>
    <tableColumn id="40" xr3:uid="{76475B70-3B84-4C91-96DF-52B7DBFBA251}" name="tap_pos"/>
    <tableColumn id="41" xr3:uid="{95D298B7-3799-4FDB-B4E5-736E57C31F54}" name="p_hv_mw"/>
    <tableColumn id="42" xr3:uid="{EA8ABEEC-4999-45F0-8837-9A8697F5119D}" name="q_hv_mvar"/>
    <tableColumn id="43" xr3:uid="{F2E29594-916A-434B-8977-9D4B8DDB0345}" name="p_lv_mw"/>
    <tableColumn id="44" xr3:uid="{011CD8E5-980B-4785-AAFB-D9C4C2913BB0}" name="q_lv_mvar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B7531-FB9D-4A11-8F8E-0B25BAB0D225}">
  <sheetPr codeName="Sheet1"/>
  <dimension ref="A1"/>
  <sheetViews>
    <sheetView showGridLines="0" showRowColHeaders="0" tabSelected="1" workbookViewId="0">
      <selection activeCell="I18" sqref="I18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sheets_unhide">
                <anchor moveWithCells="1" sizeWithCells="1">
                  <from>
                    <xdr:col>1</xdr:col>
                    <xdr:colOff>22860</xdr:colOff>
                    <xdr:row>3</xdr:row>
                    <xdr:rowOff>0</xdr:rowOff>
                  </from>
                  <to>
                    <xdr:col>4</xdr:col>
                    <xdr:colOff>579120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sheets_hide">
                <anchor moveWithCells="1" sizeWithCells="1">
                  <from>
                    <xdr:col>1</xdr:col>
                    <xdr:colOff>22860</xdr:colOff>
                    <xdr:row>5</xdr:row>
                    <xdr:rowOff>15240</xdr:rowOff>
                  </from>
                  <to>
                    <xdr:col>4</xdr:col>
                    <xdr:colOff>571500</xdr:colOff>
                    <xdr:row>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dashboard_create">
                <anchor moveWithCells="1" sizeWithCells="1">
                  <from>
                    <xdr:col>5</xdr:col>
                    <xdr:colOff>15240</xdr:colOff>
                    <xdr:row>2</xdr:row>
                    <xdr:rowOff>144780</xdr:rowOff>
                  </from>
                  <to>
                    <xdr:col>8</xdr:col>
                    <xdr:colOff>571500</xdr:colOff>
                    <xdr:row>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5AB1B-76EC-4323-8F51-232F31293F22}">
  <sheetPr codeName="Sheet2"/>
  <dimension ref="B2:AD6"/>
  <sheetViews>
    <sheetView showGridLines="0" showRowColHeaders="0" zoomScale="81" zoomScaleNormal="145" workbookViewId="0">
      <selection activeCell="O94" sqref="O94"/>
    </sheetView>
  </sheetViews>
  <sheetFormatPr defaultRowHeight="14.4" x14ac:dyDescent="0.3"/>
  <cols>
    <col min="1" max="1" width="2.21875" customWidth="1"/>
    <col min="3" max="3" width="10.44140625" customWidth="1"/>
    <col min="29" max="29" width="8.88671875" customWidth="1"/>
    <col min="30" max="30" width="2.33203125" customWidth="1"/>
  </cols>
  <sheetData>
    <row r="2" spans="2:30" ht="14.4" customHeight="1" x14ac:dyDescent="0.3">
      <c r="B2" s="17" t="s">
        <v>127</v>
      </c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5"/>
    </row>
    <row r="3" spans="2:30" ht="14.4" customHeight="1" x14ac:dyDescent="0.3"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5"/>
    </row>
    <row r="4" spans="2:30" ht="14.4" customHeight="1" x14ac:dyDescent="0.3"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5"/>
    </row>
    <row r="5" spans="2:30" ht="14.4" customHeight="1" x14ac:dyDescent="0.3"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5"/>
    </row>
    <row r="6" spans="2:30" ht="14.4" customHeight="1" x14ac:dyDescent="0.3"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5"/>
    </row>
  </sheetData>
  <mergeCells count="1">
    <mergeCell ref="B2:AC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D41E1-2FA2-4914-83AD-C4B4C0863017}">
  <sheetPr codeName="Sheet3"/>
  <dimension ref="B2:K6"/>
  <sheetViews>
    <sheetView showGridLines="0" workbookViewId="0">
      <selection activeCell="D52" sqref="D52"/>
    </sheetView>
  </sheetViews>
  <sheetFormatPr defaultRowHeight="14.4" x14ac:dyDescent="0.3"/>
  <cols>
    <col min="2" max="2" width="12.6640625" customWidth="1"/>
    <col min="3" max="3" width="9" bestFit="1" customWidth="1"/>
    <col min="4" max="4" width="10" bestFit="1" customWidth="1"/>
    <col min="5" max="6" width="10" customWidth="1"/>
    <col min="7" max="7" width="9.44140625" bestFit="1" customWidth="1"/>
    <col min="8" max="8" width="9.109375" bestFit="1" customWidth="1"/>
    <col min="9" max="9" width="13.6640625" bestFit="1" customWidth="1"/>
    <col min="10" max="10" width="12" bestFit="1" customWidth="1"/>
    <col min="11" max="11" width="14" bestFit="1" customWidth="1"/>
  </cols>
  <sheetData>
    <row r="2" spans="2:11" ht="21" x14ac:dyDescent="0.3">
      <c r="C2" s="18" t="s">
        <v>8</v>
      </c>
      <c r="D2" s="18"/>
      <c r="E2" s="18"/>
      <c r="F2" s="18"/>
      <c r="G2" s="18"/>
      <c r="H2" s="18"/>
      <c r="I2" s="18"/>
      <c r="J2" s="18"/>
      <c r="K2" s="18"/>
    </row>
    <row r="3" spans="2:11" ht="29.4" thickBot="1" x14ac:dyDescent="0.35">
      <c r="B3" s="9" t="s">
        <v>50</v>
      </c>
      <c r="C3" s="11" t="s">
        <v>30</v>
      </c>
      <c r="D3" s="11" t="s">
        <v>11</v>
      </c>
      <c r="E3" s="11" t="s">
        <v>111</v>
      </c>
      <c r="F3" s="11" t="s">
        <v>1</v>
      </c>
      <c r="G3" s="11" t="s">
        <v>0</v>
      </c>
      <c r="H3" s="11" t="s">
        <v>9</v>
      </c>
      <c r="I3" s="11" t="s">
        <v>10</v>
      </c>
      <c r="J3" s="11" t="s">
        <v>4</v>
      </c>
      <c r="K3" s="11" t="s">
        <v>5</v>
      </c>
    </row>
    <row r="4" spans="2:11" ht="29.4" thickBot="1" x14ac:dyDescent="0.35">
      <c r="B4" s="9" t="s">
        <v>49</v>
      </c>
      <c r="C4" s="3" t="s">
        <v>53</v>
      </c>
      <c r="D4" s="12" t="s">
        <v>54</v>
      </c>
      <c r="E4" s="12" t="s">
        <v>112</v>
      </c>
      <c r="F4" s="12" t="s">
        <v>56</v>
      </c>
      <c r="G4" s="12" t="s">
        <v>55</v>
      </c>
      <c r="H4" s="12" t="s">
        <v>88</v>
      </c>
      <c r="I4" s="12" t="s">
        <v>59</v>
      </c>
      <c r="J4" s="12" t="s">
        <v>86</v>
      </c>
      <c r="K4" s="12" t="s">
        <v>87</v>
      </c>
    </row>
    <row r="5" spans="2:11" x14ac:dyDescent="0.3">
      <c r="B5" s="9"/>
      <c r="C5" s="4"/>
    </row>
    <row r="6" spans="2:11" x14ac:dyDescent="0.3">
      <c r="C6" s="5"/>
    </row>
  </sheetData>
  <mergeCells count="1">
    <mergeCell ref="C2:K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4C8A0-9BCD-4A69-9D2D-A89F2DD1235A}">
  <sheetPr codeName="Sheet4"/>
  <dimension ref="B2:R6"/>
  <sheetViews>
    <sheetView showGridLines="0" workbookViewId="0">
      <selection activeCell="E3" sqref="E3"/>
    </sheetView>
  </sheetViews>
  <sheetFormatPr defaultRowHeight="14.4" x14ac:dyDescent="0.3"/>
  <cols>
    <col min="1" max="1" width="6" customWidth="1"/>
    <col min="2" max="2" width="11.6640625" bestFit="1" customWidth="1"/>
    <col min="4" max="5" width="11.109375" customWidth="1"/>
    <col min="6" max="6" width="10.5546875" bestFit="1" customWidth="1"/>
    <col min="7" max="7" width="10" bestFit="1" customWidth="1"/>
    <col min="8" max="9" width="10" customWidth="1"/>
    <col min="10" max="10" width="11.44140625" customWidth="1"/>
    <col min="11" max="11" width="10.88671875" bestFit="1" customWidth="1"/>
    <col min="12" max="12" width="12.44140625" bestFit="1" customWidth="1"/>
    <col min="13" max="13" width="12" bestFit="1" customWidth="1"/>
    <col min="14" max="14" width="12.44140625" bestFit="1" customWidth="1"/>
    <col min="15" max="15" width="15.33203125" customWidth="1"/>
    <col min="16" max="16" width="14.109375" customWidth="1"/>
    <col min="17" max="18" width="14.88671875" customWidth="1"/>
  </cols>
  <sheetData>
    <row r="2" spans="2:18" ht="21" x14ac:dyDescent="0.3">
      <c r="C2" s="18" t="s">
        <v>44</v>
      </c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2:18" ht="58.2" thickBot="1" x14ac:dyDescent="0.35">
      <c r="B3" s="9" t="s">
        <v>50</v>
      </c>
      <c r="C3" s="3" t="s">
        <v>30</v>
      </c>
      <c r="D3" s="6" t="s">
        <v>16</v>
      </c>
      <c r="E3" s="6" t="s">
        <v>111</v>
      </c>
      <c r="F3" s="6" t="s">
        <v>0</v>
      </c>
      <c r="G3" s="6" t="s">
        <v>1</v>
      </c>
      <c r="H3" s="6" t="s">
        <v>108</v>
      </c>
      <c r="I3" s="6" t="s">
        <v>9</v>
      </c>
      <c r="J3" s="6" t="s">
        <v>2</v>
      </c>
      <c r="K3" s="6" t="s">
        <v>105</v>
      </c>
      <c r="L3" s="6" t="s">
        <v>106</v>
      </c>
      <c r="M3" s="6" t="s">
        <v>12</v>
      </c>
      <c r="N3" s="6" t="s">
        <v>13</v>
      </c>
      <c r="O3" s="6" t="s">
        <v>15</v>
      </c>
      <c r="P3" s="6" t="s">
        <v>14</v>
      </c>
      <c r="Q3" s="6" t="s">
        <v>17</v>
      </c>
      <c r="R3" s="6" t="s">
        <v>18</v>
      </c>
    </row>
    <row r="4" spans="2:18" s="12" customFormat="1" ht="28.8" x14ac:dyDescent="0.3">
      <c r="B4" s="6" t="s">
        <v>49</v>
      </c>
      <c r="C4" s="12" t="s">
        <v>31</v>
      </c>
      <c r="D4" s="12" t="s">
        <v>54</v>
      </c>
      <c r="E4" s="12" t="s">
        <v>112</v>
      </c>
      <c r="F4" s="12" t="s">
        <v>55</v>
      </c>
      <c r="G4" s="12" t="s">
        <v>56</v>
      </c>
      <c r="H4" s="12" t="s">
        <v>107</v>
      </c>
      <c r="I4" s="12" t="s">
        <v>88</v>
      </c>
      <c r="J4" s="12" t="s">
        <v>59</v>
      </c>
      <c r="K4" s="12" t="s">
        <v>99</v>
      </c>
      <c r="L4" s="12" t="s">
        <v>84</v>
      </c>
      <c r="M4" s="12" t="s">
        <v>100</v>
      </c>
      <c r="N4" s="12" t="s">
        <v>101</v>
      </c>
      <c r="O4" s="12" t="s">
        <v>102</v>
      </c>
      <c r="P4" s="12" t="s">
        <v>103</v>
      </c>
      <c r="Q4" s="12" t="s">
        <v>104</v>
      </c>
      <c r="R4" s="12" t="s">
        <v>87</v>
      </c>
    </row>
    <row r="5" spans="2:18" x14ac:dyDescent="0.3">
      <c r="B5" s="9"/>
      <c r="C5" s="4"/>
      <c r="D5" s="14"/>
      <c r="E5" s="14"/>
    </row>
    <row r="6" spans="2:18" x14ac:dyDescent="0.3">
      <c r="C6" s="5"/>
    </row>
  </sheetData>
  <mergeCells count="1">
    <mergeCell ref="C2:R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21B50-6F1F-4D62-BA59-D66917AA062E}">
  <sheetPr codeName="Sheet7"/>
  <dimension ref="B1:M6"/>
  <sheetViews>
    <sheetView showGridLines="0" workbookViewId="0">
      <selection activeCell="F11" sqref="F11"/>
    </sheetView>
  </sheetViews>
  <sheetFormatPr defaultRowHeight="14.4" x14ac:dyDescent="0.3"/>
  <cols>
    <col min="1" max="1" width="5" customWidth="1"/>
    <col min="2" max="2" width="11.6640625" bestFit="1" customWidth="1"/>
    <col min="3" max="3" width="9" bestFit="1" customWidth="1"/>
    <col min="4" max="4" width="10" bestFit="1" customWidth="1"/>
    <col min="5" max="5" width="10" customWidth="1"/>
    <col min="6" max="6" width="9.44140625" bestFit="1" customWidth="1"/>
    <col min="7" max="7" width="10.33203125" bestFit="1" customWidth="1"/>
    <col min="8" max="8" width="12.33203125" bestFit="1" customWidth="1"/>
    <col min="9" max="9" width="13.6640625" bestFit="1" customWidth="1"/>
    <col min="10" max="10" width="11.33203125" bestFit="1" customWidth="1"/>
    <col min="11" max="11" width="14.33203125" bestFit="1" customWidth="1"/>
    <col min="12" max="12" width="12" bestFit="1" customWidth="1"/>
    <col min="13" max="13" width="14" bestFit="1" customWidth="1"/>
  </cols>
  <sheetData>
    <row r="1" spans="2:13" ht="15.6" customHeight="1" x14ac:dyDescent="0.3"/>
    <row r="2" spans="2:13" ht="21" x14ac:dyDescent="0.3">
      <c r="C2" s="18" t="s">
        <v>29</v>
      </c>
      <c r="D2" s="18"/>
      <c r="E2" s="18"/>
      <c r="F2" s="18"/>
      <c r="G2" s="18"/>
      <c r="H2" s="18"/>
      <c r="I2" s="18"/>
      <c r="J2" s="18"/>
      <c r="K2" s="18"/>
      <c r="L2" s="18"/>
      <c r="M2" s="18"/>
    </row>
    <row r="3" spans="2:13" ht="29.4" thickBot="1" x14ac:dyDescent="0.35">
      <c r="B3" s="9" t="s">
        <v>50</v>
      </c>
      <c r="C3" s="11" t="s">
        <v>30</v>
      </c>
      <c r="D3" s="11" t="s">
        <v>9</v>
      </c>
      <c r="E3" s="11" t="s">
        <v>111</v>
      </c>
      <c r="F3" s="11" t="s">
        <v>0</v>
      </c>
      <c r="G3" s="11" t="s">
        <v>1</v>
      </c>
      <c r="H3" s="11" t="s">
        <v>6</v>
      </c>
      <c r="I3" s="11" t="s">
        <v>2</v>
      </c>
      <c r="J3" s="11" t="s">
        <v>3</v>
      </c>
      <c r="K3" s="11" t="s">
        <v>7</v>
      </c>
      <c r="L3" s="11" t="s">
        <v>4</v>
      </c>
      <c r="M3" s="11" t="s">
        <v>5</v>
      </c>
    </row>
    <row r="4" spans="2:13" s="1" customFormat="1" ht="28.95" customHeight="1" x14ac:dyDescent="0.3">
      <c r="B4" s="9" t="s">
        <v>49</v>
      </c>
      <c r="C4" s="12" t="s">
        <v>53</v>
      </c>
      <c r="D4" s="12" t="s">
        <v>54</v>
      </c>
      <c r="E4" s="12" t="s">
        <v>112</v>
      </c>
      <c r="F4" s="12" t="s">
        <v>55</v>
      </c>
      <c r="G4" s="12" t="s">
        <v>56</v>
      </c>
      <c r="H4" s="12" t="s">
        <v>83</v>
      </c>
      <c r="I4" s="12" t="s">
        <v>59</v>
      </c>
      <c r="J4" s="12" t="s">
        <v>84</v>
      </c>
      <c r="K4" s="12" t="s">
        <v>85</v>
      </c>
      <c r="L4" s="12" t="s">
        <v>86</v>
      </c>
      <c r="M4" s="12" t="s">
        <v>87</v>
      </c>
    </row>
    <row r="5" spans="2:13" x14ac:dyDescent="0.3">
      <c r="B5" s="9"/>
      <c r="C5" s="4"/>
    </row>
    <row r="6" spans="2:13" x14ac:dyDescent="0.3">
      <c r="C6" s="5"/>
    </row>
  </sheetData>
  <mergeCells count="1">
    <mergeCell ref="C2:M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B9BF1-1E58-4308-B5FF-BD4802D2FFBD}">
  <sheetPr codeName="Sheet8"/>
  <dimension ref="B2:V6"/>
  <sheetViews>
    <sheetView showGridLines="0" topLeftCell="A2" workbookViewId="0">
      <selection activeCell="G8" sqref="G8"/>
    </sheetView>
  </sheetViews>
  <sheetFormatPr defaultRowHeight="14.4" x14ac:dyDescent="0.3"/>
  <cols>
    <col min="1" max="1" width="5.33203125" customWidth="1"/>
    <col min="2" max="2" width="11.6640625" bestFit="1" customWidth="1"/>
    <col min="3" max="3" width="9" bestFit="1" customWidth="1"/>
    <col min="4" max="4" width="10" bestFit="1" customWidth="1"/>
    <col min="5" max="5" width="10" customWidth="1"/>
    <col min="6" max="6" width="9.44140625" bestFit="1" customWidth="1"/>
    <col min="7" max="7" width="10.33203125" bestFit="1" customWidth="1"/>
    <col min="8" max="8" width="12.6640625" bestFit="1" customWidth="1"/>
    <col min="9" max="9" width="11.33203125" bestFit="1" customWidth="1"/>
    <col min="10" max="11" width="12.6640625" bestFit="1" customWidth="1"/>
    <col min="12" max="12" width="12.44140625" bestFit="1" customWidth="1"/>
    <col min="13" max="13" width="15" bestFit="1" customWidth="1"/>
    <col min="14" max="14" width="11.5546875" bestFit="1" customWidth="1"/>
    <col min="15" max="16" width="12.6640625" bestFit="1" customWidth="1"/>
    <col min="17" max="17" width="17" bestFit="1" customWidth="1"/>
    <col min="18" max="18" width="13.44140625" bestFit="1" customWidth="1"/>
    <col min="19" max="19" width="14.6640625" bestFit="1" customWidth="1"/>
    <col min="20" max="21" width="12.33203125" bestFit="1" customWidth="1"/>
    <col min="22" max="22" width="12.6640625" bestFit="1" customWidth="1"/>
  </cols>
  <sheetData>
    <row r="2" spans="2:22" ht="21" x14ac:dyDescent="0.3">
      <c r="C2" s="18" t="s">
        <v>19</v>
      </c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</row>
    <row r="3" spans="2:22" ht="43.8" thickBot="1" x14ac:dyDescent="0.35">
      <c r="B3" s="9" t="s">
        <v>50</v>
      </c>
      <c r="C3" s="13" t="s">
        <v>31</v>
      </c>
      <c r="D3" s="13" t="s">
        <v>20</v>
      </c>
      <c r="E3" s="13" t="s">
        <v>111</v>
      </c>
      <c r="F3" s="13" t="s">
        <v>0</v>
      </c>
      <c r="G3" s="13" t="s">
        <v>89</v>
      </c>
      <c r="H3" s="13" t="s">
        <v>91</v>
      </c>
      <c r="I3" s="13" t="s">
        <v>90</v>
      </c>
      <c r="J3" s="13" t="s">
        <v>2</v>
      </c>
      <c r="K3" s="13" t="s">
        <v>21</v>
      </c>
      <c r="L3" s="13" t="s">
        <v>92</v>
      </c>
      <c r="M3" s="13" t="s">
        <v>22</v>
      </c>
      <c r="N3" s="13" t="s">
        <v>23</v>
      </c>
      <c r="O3" s="13" t="s">
        <v>24</v>
      </c>
      <c r="P3" s="13" t="s">
        <v>25</v>
      </c>
      <c r="Q3" s="13" t="s">
        <v>93</v>
      </c>
      <c r="R3" s="13" t="s">
        <v>26</v>
      </c>
      <c r="S3" s="13" t="s">
        <v>27</v>
      </c>
      <c r="T3" s="13" t="s">
        <v>94</v>
      </c>
      <c r="U3" s="13" t="s">
        <v>95</v>
      </c>
      <c r="V3" s="13" t="s">
        <v>51</v>
      </c>
    </row>
    <row r="4" spans="2:22" ht="46.5" customHeight="1" x14ac:dyDescent="0.3">
      <c r="B4" s="9" t="s">
        <v>49</v>
      </c>
      <c r="C4" s="2" t="s">
        <v>53</v>
      </c>
      <c r="D4" s="2" t="s">
        <v>54</v>
      </c>
      <c r="E4" s="2" t="s">
        <v>112</v>
      </c>
      <c r="F4" s="2" t="s">
        <v>55</v>
      </c>
      <c r="G4" s="2" t="s">
        <v>56</v>
      </c>
      <c r="H4" s="2" t="s">
        <v>57</v>
      </c>
      <c r="I4" s="2" t="s">
        <v>58</v>
      </c>
      <c r="J4" s="2" t="s">
        <v>59</v>
      </c>
      <c r="K4" s="2" t="s">
        <v>60</v>
      </c>
      <c r="L4" s="2" t="s">
        <v>61</v>
      </c>
      <c r="M4" s="2" t="s">
        <v>62</v>
      </c>
      <c r="N4" s="2" t="s">
        <v>63</v>
      </c>
      <c r="O4" s="2" t="s">
        <v>64</v>
      </c>
      <c r="P4" s="2" t="s">
        <v>65</v>
      </c>
      <c r="Q4" s="2" t="s">
        <v>66</v>
      </c>
      <c r="R4" s="2" t="s">
        <v>67</v>
      </c>
      <c r="S4" s="2" t="s">
        <v>68</v>
      </c>
      <c r="T4" s="2" t="s">
        <v>69</v>
      </c>
      <c r="U4" s="2" t="s">
        <v>70</v>
      </c>
      <c r="V4" s="2" t="s">
        <v>71</v>
      </c>
    </row>
    <row r="5" spans="2:22" x14ac:dyDescent="0.3">
      <c r="B5" s="9"/>
      <c r="C5" s="4"/>
    </row>
    <row r="6" spans="2:22" x14ac:dyDescent="0.3">
      <c r="C6" s="5"/>
    </row>
  </sheetData>
  <mergeCells count="1">
    <mergeCell ref="C2:V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0D49D-DAF3-4516-9DAE-820245FBF0AF}">
  <sheetPr codeName="Sheet11"/>
  <dimension ref="B2:X5"/>
  <sheetViews>
    <sheetView showGridLines="0" topLeftCell="B1" workbookViewId="0">
      <selection activeCell="E5" sqref="E5"/>
    </sheetView>
  </sheetViews>
  <sheetFormatPr defaultRowHeight="14.4" x14ac:dyDescent="0.3"/>
  <cols>
    <col min="1" max="1" width="3.6640625" customWidth="1"/>
    <col min="2" max="2" width="11.6640625" bestFit="1" customWidth="1"/>
    <col min="7" max="7" width="9" customWidth="1"/>
    <col min="12" max="12" width="11.33203125" customWidth="1"/>
    <col min="13" max="13" width="9.6640625" customWidth="1"/>
    <col min="14" max="14" width="10.6640625" customWidth="1"/>
  </cols>
  <sheetData>
    <row r="2" spans="2:24" ht="21" x14ac:dyDescent="0.3">
      <c r="C2" s="18" t="s">
        <v>28</v>
      </c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</row>
    <row r="3" spans="2:24" ht="58.2" thickBot="1" x14ac:dyDescent="0.35">
      <c r="B3" s="9" t="s">
        <v>50</v>
      </c>
      <c r="C3" s="11" t="s">
        <v>30</v>
      </c>
      <c r="D3" s="11" t="s">
        <v>32</v>
      </c>
      <c r="E3" s="11" t="s">
        <v>111</v>
      </c>
      <c r="F3" s="11" t="s">
        <v>0</v>
      </c>
      <c r="G3" s="11" t="s">
        <v>1</v>
      </c>
      <c r="H3" s="11" t="s">
        <v>34</v>
      </c>
      <c r="I3" s="11" t="s">
        <v>96</v>
      </c>
      <c r="J3" s="11" t="s">
        <v>97</v>
      </c>
      <c r="K3" s="11" t="s">
        <v>35</v>
      </c>
      <c r="L3" s="11" t="s">
        <v>36</v>
      </c>
      <c r="M3" s="11" t="s">
        <v>37</v>
      </c>
      <c r="N3" s="11" t="s">
        <v>38</v>
      </c>
      <c r="O3" s="11" t="s">
        <v>39</v>
      </c>
      <c r="P3" s="11" t="s">
        <v>33</v>
      </c>
      <c r="Q3" s="11" t="s">
        <v>2</v>
      </c>
      <c r="R3" s="11" t="s">
        <v>40</v>
      </c>
      <c r="S3" s="11" t="s">
        <v>41</v>
      </c>
      <c r="T3" s="11" t="s">
        <v>42</v>
      </c>
      <c r="U3" s="11" t="s">
        <v>43</v>
      </c>
      <c r="V3" s="11" t="s">
        <v>94</v>
      </c>
      <c r="W3" s="11" t="s">
        <v>98</v>
      </c>
      <c r="X3" s="11" t="s">
        <v>52</v>
      </c>
    </row>
    <row r="4" spans="2:24" ht="28.8" x14ac:dyDescent="0.3">
      <c r="B4" s="9" t="s">
        <v>49</v>
      </c>
      <c r="C4" s="12" t="s">
        <v>53</v>
      </c>
      <c r="D4" s="12" t="s">
        <v>54</v>
      </c>
      <c r="E4" s="12" t="s">
        <v>112</v>
      </c>
      <c r="F4" s="12" t="s">
        <v>55</v>
      </c>
      <c r="G4" s="12" t="s">
        <v>56</v>
      </c>
      <c r="H4" s="12" t="s">
        <v>64</v>
      </c>
      <c r="I4" s="12" t="s">
        <v>72</v>
      </c>
      <c r="J4" s="12" t="s">
        <v>73</v>
      </c>
      <c r="K4" s="12" t="s">
        <v>74</v>
      </c>
      <c r="L4" s="12" t="s">
        <v>75</v>
      </c>
      <c r="M4" s="12" t="s">
        <v>76</v>
      </c>
      <c r="N4" s="12" t="s">
        <v>77</v>
      </c>
      <c r="O4" s="12" t="s">
        <v>78</v>
      </c>
      <c r="P4" s="12" t="s">
        <v>63</v>
      </c>
      <c r="Q4" s="12" t="s">
        <v>59</v>
      </c>
      <c r="R4" s="12" t="s">
        <v>79</v>
      </c>
      <c r="S4" s="12" t="s">
        <v>80</v>
      </c>
      <c r="T4" s="12" t="s">
        <v>81</v>
      </c>
      <c r="U4" s="12" t="s">
        <v>82</v>
      </c>
      <c r="V4" s="12" t="s">
        <v>69</v>
      </c>
      <c r="W4" s="12" t="s">
        <v>70</v>
      </c>
      <c r="X4" s="6" t="s">
        <v>71</v>
      </c>
    </row>
    <row r="5" spans="2:24" x14ac:dyDescent="0.3">
      <c r="B5" s="9"/>
      <c r="C5" s="4"/>
      <c r="X5" s="10"/>
    </row>
  </sheetData>
  <mergeCells count="1">
    <mergeCell ref="C2:X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98E87-A0B2-4BDD-ABD9-60F729F33BDA}">
  <sheetPr codeName="Sheet5"/>
  <dimension ref="A1:C7"/>
  <sheetViews>
    <sheetView workbookViewId="0">
      <selection activeCell="B5" sqref="B5"/>
    </sheetView>
  </sheetViews>
  <sheetFormatPr defaultRowHeight="14.4" x14ac:dyDescent="0.3"/>
  <cols>
    <col min="1" max="1" width="12.6640625" bestFit="1" customWidth="1"/>
    <col min="2" max="2" width="15.5546875" bestFit="1" customWidth="1"/>
    <col min="3" max="3" width="10.77734375" bestFit="1" customWidth="1"/>
  </cols>
  <sheetData>
    <row r="1" spans="1:3" x14ac:dyDescent="0.3">
      <c r="A1" s="7" t="s">
        <v>113</v>
      </c>
      <c r="B1" t="s">
        <v>120</v>
      </c>
    </row>
    <row r="2" spans="1:3" x14ac:dyDescent="0.3">
      <c r="A2" s="7" t="s">
        <v>112</v>
      </c>
      <c r="B2" t="s">
        <v>47</v>
      </c>
    </row>
    <row r="4" spans="1:3" x14ac:dyDescent="0.3">
      <c r="A4" s="7" t="s">
        <v>109</v>
      </c>
      <c r="B4" s="7" t="s">
        <v>48</v>
      </c>
    </row>
    <row r="5" spans="1:3" x14ac:dyDescent="0.3">
      <c r="A5" s="7" t="s">
        <v>45</v>
      </c>
      <c r="B5">
        <v>0</v>
      </c>
      <c r="C5" t="s">
        <v>46</v>
      </c>
    </row>
    <row r="6" spans="1:3" x14ac:dyDescent="0.3">
      <c r="A6" s="8">
        <v>0</v>
      </c>
      <c r="B6">
        <v>0</v>
      </c>
      <c r="C6">
        <v>0</v>
      </c>
    </row>
    <row r="7" spans="1:3" x14ac:dyDescent="0.3">
      <c r="A7" s="8" t="s">
        <v>46</v>
      </c>
      <c r="B7">
        <v>0</v>
      </c>
      <c r="C7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4ED72-461E-44D9-A550-44C048385DA4}">
  <sheetPr codeName="Sheet6"/>
  <dimension ref="A1:C6"/>
  <sheetViews>
    <sheetView workbookViewId="0">
      <selection activeCell="M15" sqref="M15"/>
    </sheetView>
  </sheetViews>
  <sheetFormatPr defaultRowHeight="14.4" x14ac:dyDescent="0.3"/>
  <cols>
    <col min="1" max="1" width="12.6640625" bestFit="1" customWidth="1"/>
    <col min="2" max="2" width="15.5546875" bestFit="1" customWidth="1"/>
    <col min="3" max="3" width="10.77734375" bestFit="1" customWidth="1"/>
  </cols>
  <sheetData>
    <row r="1" spans="1:3" x14ac:dyDescent="0.3">
      <c r="A1" s="7" t="s">
        <v>113</v>
      </c>
      <c r="B1" t="s">
        <v>120</v>
      </c>
    </row>
    <row r="2" spans="1:3" x14ac:dyDescent="0.3">
      <c r="A2" s="7" t="s">
        <v>112</v>
      </c>
      <c r="B2" t="s">
        <v>47</v>
      </c>
    </row>
    <row r="4" spans="1:3" x14ac:dyDescent="0.3">
      <c r="B4" s="7" t="s">
        <v>48</v>
      </c>
    </row>
    <row r="5" spans="1:3" x14ac:dyDescent="0.3">
      <c r="B5">
        <v>0</v>
      </c>
      <c r="C5" t="s">
        <v>46</v>
      </c>
    </row>
    <row r="6" spans="1:3" x14ac:dyDescent="0.3">
      <c r="A6" t="s">
        <v>109</v>
      </c>
      <c r="B6">
        <v>0</v>
      </c>
      <c r="C6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2EF4C-FBDE-45A4-9A2B-128B7C8E697D}">
  <sheetPr codeName="Sheet9"/>
  <dimension ref="A1:D8"/>
  <sheetViews>
    <sheetView workbookViewId="0">
      <selection activeCell="B6" sqref="B6"/>
    </sheetView>
  </sheetViews>
  <sheetFormatPr defaultRowHeight="14.4" x14ac:dyDescent="0.3"/>
  <cols>
    <col min="1" max="1" width="12.6640625" bestFit="1" customWidth="1"/>
    <col min="2" max="2" width="16.109375" bestFit="1" customWidth="1"/>
    <col min="3" max="3" width="6.5546875" bestFit="1" customWidth="1"/>
    <col min="4" max="4" width="10.77734375" bestFit="1" customWidth="1"/>
    <col min="5" max="5" width="15.44140625" bestFit="1" customWidth="1"/>
  </cols>
  <sheetData>
    <row r="1" spans="1:4" x14ac:dyDescent="0.3">
      <c r="A1" s="7" t="s">
        <v>113</v>
      </c>
      <c r="B1" t="s">
        <v>121</v>
      </c>
    </row>
    <row r="2" spans="1:4" x14ac:dyDescent="0.3">
      <c r="A2" s="7" t="s">
        <v>112</v>
      </c>
      <c r="B2" t="s">
        <v>47</v>
      </c>
    </row>
    <row r="4" spans="1:4" x14ac:dyDescent="0.3">
      <c r="A4" s="7" t="s">
        <v>109</v>
      </c>
      <c r="B4" s="7" t="s">
        <v>48</v>
      </c>
    </row>
    <row r="5" spans="1:4" x14ac:dyDescent="0.3">
      <c r="B5" t="s">
        <v>122</v>
      </c>
      <c r="C5" t="s">
        <v>123</v>
      </c>
      <c r="D5" t="s">
        <v>46</v>
      </c>
    </row>
    <row r="6" spans="1:4" x14ac:dyDescent="0.3">
      <c r="A6" s="7" t="s">
        <v>45</v>
      </c>
      <c r="B6">
        <v>0</v>
      </c>
    </row>
    <row r="7" spans="1:4" x14ac:dyDescent="0.3">
      <c r="A7" s="8">
        <v>0</v>
      </c>
      <c r="B7">
        <v>0</v>
      </c>
      <c r="C7">
        <v>0</v>
      </c>
      <c r="D7">
        <v>0</v>
      </c>
    </row>
    <row r="8" spans="1:4" x14ac:dyDescent="0.3">
      <c r="A8" s="8" t="s">
        <v>46</v>
      </c>
      <c r="B8">
        <v>0</v>
      </c>
      <c r="C8">
        <v>0</v>
      </c>
      <c r="D8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D27A1-A0DF-42D2-BE67-868076E9B38D}">
  <sheetPr codeName="Sheet10"/>
  <dimension ref="A1:D7"/>
  <sheetViews>
    <sheetView workbookViewId="0">
      <selection activeCell="H2" sqref="H2"/>
    </sheetView>
  </sheetViews>
  <sheetFormatPr defaultRowHeight="14.4" x14ac:dyDescent="0.3"/>
  <cols>
    <col min="1" max="1" width="12.6640625" bestFit="1" customWidth="1"/>
    <col min="2" max="2" width="16.109375" bestFit="1" customWidth="1"/>
    <col min="3" max="3" width="6.5546875" bestFit="1" customWidth="1"/>
    <col min="4" max="4" width="10.77734375" bestFit="1" customWidth="1"/>
    <col min="5" max="5" width="15.44140625" bestFit="1" customWidth="1"/>
  </cols>
  <sheetData>
    <row r="1" spans="1:4" x14ac:dyDescent="0.3">
      <c r="A1" s="7" t="s">
        <v>113</v>
      </c>
      <c r="B1" t="s">
        <v>121</v>
      </c>
    </row>
    <row r="2" spans="1:4" x14ac:dyDescent="0.3">
      <c r="A2" s="7" t="s">
        <v>112</v>
      </c>
      <c r="B2" t="s">
        <v>47</v>
      </c>
    </row>
    <row r="4" spans="1:4" x14ac:dyDescent="0.3">
      <c r="B4" s="7" t="s">
        <v>48</v>
      </c>
    </row>
    <row r="5" spans="1:4" x14ac:dyDescent="0.3">
      <c r="B5" t="s">
        <v>122</v>
      </c>
      <c r="C5" t="s">
        <v>123</v>
      </c>
      <c r="D5" t="s">
        <v>46</v>
      </c>
    </row>
    <row r="6" spans="1:4" x14ac:dyDescent="0.3">
      <c r="B6">
        <v>0</v>
      </c>
    </row>
    <row r="7" spans="1:4" x14ac:dyDescent="0.3">
      <c r="A7" t="s">
        <v>109</v>
      </c>
      <c r="B7">
        <v>0</v>
      </c>
      <c r="C7">
        <v>0</v>
      </c>
      <c r="D7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77713-5DAE-4037-B8FE-306215BA8B03}">
  <sheetPr codeName="Sheet12"/>
  <dimension ref="A1:C7"/>
  <sheetViews>
    <sheetView workbookViewId="0">
      <selection activeCell="F2" sqref="F2"/>
    </sheetView>
  </sheetViews>
  <sheetFormatPr defaultRowHeight="14.4" x14ac:dyDescent="0.3"/>
  <cols>
    <col min="1" max="1" width="13.21875" bestFit="1" customWidth="1"/>
    <col min="2" max="2" width="16.109375" bestFit="1" customWidth="1"/>
    <col min="3" max="3" width="10.77734375" bestFit="1" customWidth="1"/>
    <col min="4" max="4" width="6.5546875" bestFit="1" customWidth="1"/>
    <col min="5" max="5" width="10.77734375" bestFit="1" customWidth="1"/>
    <col min="6" max="6" width="17.5546875" bestFit="1" customWidth="1"/>
    <col min="7" max="7" width="18" bestFit="1" customWidth="1"/>
  </cols>
  <sheetData>
    <row r="1" spans="1:3" x14ac:dyDescent="0.3">
      <c r="A1" s="7" t="s">
        <v>112</v>
      </c>
      <c r="B1" t="s">
        <v>47</v>
      </c>
    </row>
    <row r="2" spans="1:3" x14ac:dyDescent="0.3">
      <c r="A2" s="7" t="s">
        <v>113</v>
      </c>
      <c r="B2" t="s">
        <v>121</v>
      </c>
    </row>
    <row r="4" spans="1:3" x14ac:dyDescent="0.3">
      <c r="A4" s="7" t="s">
        <v>110</v>
      </c>
      <c r="B4" s="7" t="s">
        <v>48</v>
      </c>
    </row>
    <row r="5" spans="1:3" x14ac:dyDescent="0.3">
      <c r="A5" s="7" t="s">
        <v>45</v>
      </c>
      <c r="B5" t="s">
        <v>122</v>
      </c>
      <c r="C5" t="s">
        <v>46</v>
      </c>
    </row>
    <row r="6" spans="1:3" x14ac:dyDescent="0.3">
      <c r="A6" s="8">
        <v>0</v>
      </c>
      <c r="B6">
        <v>0</v>
      </c>
      <c r="C6">
        <v>0</v>
      </c>
    </row>
    <row r="7" spans="1:3" x14ac:dyDescent="0.3">
      <c r="A7" s="8" t="s">
        <v>46</v>
      </c>
      <c r="B7">
        <v>0</v>
      </c>
      <c r="C7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B3B48-D24A-4095-9E02-C6D424D54516}">
  <sheetPr codeName="Sheet13"/>
  <dimension ref="A1:D6"/>
  <sheetViews>
    <sheetView topLeftCell="B1" workbookViewId="0">
      <selection activeCell="B6" sqref="B6"/>
    </sheetView>
  </sheetViews>
  <sheetFormatPr defaultRowHeight="14.4" x14ac:dyDescent="0.3"/>
  <cols>
    <col min="1" max="1" width="13.21875" bestFit="1" customWidth="1"/>
    <col min="2" max="2" width="15.5546875" bestFit="1" customWidth="1"/>
    <col min="3" max="3" width="5.109375" bestFit="1" customWidth="1"/>
    <col min="4" max="5" width="10.77734375" bestFit="1" customWidth="1"/>
    <col min="6" max="6" width="17.5546875" bestFit="1" customWidth="1"/>
    <col min="7" max="7" width="18" bestFit="1" customWidth="1"/>
  </cols>
  <sheetData>
    <row r="1" spans="1:4" x14ac:dyDescent="0.3">
      <c r="A1" s="7" t="s">
        <v>112</v>
      </c>
      <c r="B1" t="s">
        <v>47</v>
      </c>
    </row>
    <row r="2" spans="1:4" x14ac:dyDescent="0.3">
      <c r="A2" s="7" t="s">
        <v>55</v>
      </c>
      <c r="B2" t="s">
        <v>47</v>
      </c>
    </row>
    <row r="4" spans="1:4" x14ac:dyDescent="0.3">
      <c r="B4" s="7" t="s">
        <v>48</v>
      </c>
    </row>
    <row r="5" spans="1:4" x14ac:dyDescent="0.3">
      <c r="B5" t="s">
        <v>119</v>
      </c>
      <c r="C5" t="s">
        <v>118</v>
      </c>
      <c r="D5" t="s">
        <v>46</v>
      </c>
    </row>
    <row r="6" spans="1:4" x14ac:dyDescent="0.3">
      <c r="A6" t="s">
        <v>110</v>
      </c>
      <c r="B6">
        <v>0</v>
      </c>
      <c r="C6">
        <v>0</v>
      </c>
      <c r="D6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BFAF2-6C4E-4B52-BA37-42EA1AE88B12}">
  <sheetPr codeName="Sheet14"/>
  <dimension ref="A1:D7"/>
  <sheetViews>
    <sheetView workbookViewId="0">
      <selection activeCell="B5" sqref="B5"/>
    </sheetView>
  </sheetViews>
  <sheetFormatPr defaultRowHeight="14.4" x14ac:dyDescent="0.3"/>
  <cols>
    <col min="1" max="1" width="12.5546875" bestFit="1" customWidth="1"/>
    <col min="2" max="2" width="21.33203125" bestFit="1" customWidth="1"/>
    <col min="3" max="3" width="24.5546875" bestFit="1" customWidth="1"/>
    <col min="4" max="4" width="20.88671875" bestFit="1" customWidth="1"/>
    <col min="5" max="5" width="29.33203125" bestFit="1" customWidth="1"/>
    <col min="6" max="6" width="26.109375" bestFit="1" customWidth="1"/>
    <col min="7" max="7" width="25.77734375" bestFit="1" customWidth="1"/>
  </cols>
  <sheetData>
    <row r="1" spans="1:4" x14ac:dyDescent="0.3">
      <c r="A1" s="7" t="s">
        <v>112</v>
      </c>
      <c r="B1" t="s">
        <v>47</v>
      </c>
    </row>
    <row r="2" spans="1:4" x14ac:dyDescent="0.3">
      <c r="A2" s="7" t="s">
        <v>113</v>
      </c>
      <c r="B2" t="s">
        <v>119</v>
      </c>
    </row>
    <row r="3" spans="1:4" x14ac:dyDescent="0.3">
      <c r="A3" s="7" t="s">
        <v>55</v>
      </c>
      <c r="B3" t="s">
        <v>47</v>
      </c>
    </row>
    <row r="5" spans="1:4" x14ac:dyDescent="0.3">
      <c r="A5" s="7" t="s">
        <v>45</v>
      </c>
      <c r="B5" t="s">
        <v>125</v>
      </c>
      <c r="C5" t="s">
        <v>124</v>
      </c>
      <c r="D5" t="s">
        <v>126</v>
      </c>
    </row>
    <row r="6" spans="1:4" x14ac:dyDescent="0.3">
      <c r="A6" s="8">
        <v>0</v>
      </c>
      <c r="B6">
        <v>0</v>
      </c>
      <c r="C6">
        <v>0</v>
      </c>
      <c r="D6">
        <v>0</v>
      </c>
    </row>
    <row r="7" spans="1:4" x14ac:dyDescent="0.3">
      <c r="A7" s="8" t="s">
        <v>46</v>
      </c>
      <c r="B7">
        <v>0</v>
      </c>
      <c r="C7">
        <v>0</v>
      </c>
      <c r="D7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900CF-D0BC-4271-87C9-821196A3220A}">
  <sheetPr codeName="Sheet15"/>
  <dimension ref="A1:D7"/>
  <sheetViews>
    <sheetView workbookViewId="0">
      <selection activeCell="B5" sqref="B5"/>
    </sheetView>
  </sheetViews>
  <sheetFormatPr defaultRowHeight="14.4" x14ac:dyDescent="0.3"/>
  <cols>
    <col min="1" max="1" width="12.5546875" bestFit="1" customWidth="1"/>
    <col min="2" max="2" width="21.33203125" bestFit="1" customWidth="1"/>
    <col min="3" max="3" width="24.5546875" bestFit="1" customWidth="1"/>
    <col min="4" max="4" width="20.88671875" bestFit="1" customWidth="1"/>
    <col min="5" max="5" width="29.33203125" bestFit="1" customWidth="1"/>
    <col min="6" max="6" width="26.109375" bestFit="1" customWidth="1"/>
    <col min="7" max="7" width="25.77734375" bestFit="1" customWidth="1"/>
  </cols>
  <sheetData>
    <row r="1" spans="1:4" x14ac:dyDescent="0.3">
      <c r="A1" s="7" t="s">
        <v>112</v>
      </c>
      <c r="B1" t="s">
        <v>47</v>
      </c>
    </row>
    <row r="2" spans="1:4" x14ac:dyDescent="0.3">
      <c r="A2" s="7" t="s">
        <v>113</v>
      </c>
      <c r="B2" t="s">
        <v>118</v>
      </c>
    </row>
    <row r="3" spans="1:4" x14ac:dyDescent="0.3">
      <c r="A3" s="7" t="s">
        <v>55</v>
      </c>
      <c r="B3" t="s">
        <v>47</v>
      </c>
    </row>
    <row r="5" spans="1:4" x14ac:dyDescent="0.3">
      <c r="A5" s="7" t="s">
        <v>45</v>
      </c>
      <c r="B5" t="s">
        <v>125</v>
      </c>
      <c r="C5" t="s">
        <v>124</v>
      </c>
      <c r="D5" t="s">
        <v>126</v>
      </c>
    </row>
    <row r="6" spans="1:4" x14ac:dyDescent="0.3">
      <c r="A6" s="8">
        <v>0</v>
      </c>
      <c r="B6">
        <v>0</v>
      </c>
      <c r="C6">
        <v>0</v>
      </c>
      <c r="D6">
        <v>0</v>
      </c>
    </row>
    <row r="7" spans="1:4" x14ac:dyDescent="0.3">
      <c r="A7" s="8" t="s">
        <v>46</v>
      </c>
      <c r="B7">
        <v>0</v>
      </c>
      <c r="C7">
        <v>0</v>
      </c>
      <c r="D7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55D4C-A10A-4718-B3D1-12FD2DD2AB2B}">
  <sheetPr codeName="Sheet16"/>
  <dimension ref="B1:AS10"/>
  <sheetViews>
    <sheetView workbookViewId="0">
      <selection activeCell="D11" sqref="D11"/>
    </sheetView>
  </sheetViews>
  <sheetFormatPr defaultRowHeight="14.4" x14ac:dyDescent="0.3"/>
  <cols>
    <col min="4" max="4" width="9.77734375" customWidth="1"/>
    <col min="8" max="8" width="11" customWidth="1"/>
    <col min="10" max="10" width="11.33203125" customWidth="1"/>
    <col min="12" max="12" width="9" customWidth="1"/>
    <col min="13" max="13" width="9.5546875" customWidth="1"/>
    <col min="17" max="17" width="12.33203125" customWidth="1"/>
    <col min="18" max="18" width="13.44140625" customWidth="1"/>
    <col min="19" max="19" width="11.88671875" customWidth="1"/>
    <col min="20" max="20" width="13" customWidth="1"/>
    <col min="21" max="21" width="10.6640625" customWidth="1"/>
    <col min="23" max="23" width="11.33203125" customWidth="1"/>
    <col min="24" max="24" width="10.6640625" customWidth="1"/>
    <col min="25" max="25" width="20.44140625" customWidth="1"/>
    <col min="27" max="27" width="9.88671875" customWidth="1"/>
    <col min="28" max="28" width="12.88671875" customWidth="1"/>
    <col min="29" max="29" width="14" customWidth="1"/>
    <col min="30" max="30" width="10.6640625" customWidth="1"/>
    <col min="31" max="31" width="11.77734375" customWidth="1"/>
    <col min="33" max="33" width="9.44140625" customWidth="1"/>
    <col min="34" max="34" width="16" customWidth="1"/>
    <col min="37" max="37" width="10.44140625" customWidth="1"/>
    <col min="38" max="38" width="9.88671875" customWidth="1"/>
    <col min="40" max="40" width="13" customWidth="1"/>
    <col min="41" max="41" width="9.44140625" customWidth="1"/>
    <col min="42" max="42" width="10.77734375" customWidth="1"/>
    <col min="43" max="43" width="11.88671875" customWidth="1"/>
    <col min="44" max="44" width="10.21875" customWidth="1"/>
    <col min="45" max="45" width="11.33203125" customWidth="1"/>
  </cols>
  <sheetData>
    <row r="1" spans="2:45" x14ac:dyDescent="0.3">
      <c r="B1" t="s">
        <v>53</v>
      </c>
      <c r="C1" t="s">
        <v>54</v>
      </c>
      <c r="D1" t="s">
        <v>112</v>
      </c>
      <c r="E1" t="s">
        <v>55</v>
      </c>
      <c r="F1" t="s">
        <v>56</v>
      </c>
      <c r="G1" t="s">
        <v>83</v>
      </c>
      <c r="H1" t="s">
        <v>59</v>
      </c>
      <c r="I1" t="s">
        <v>84</v>
      </c>
      <c r="J1" t="s">
        <v>85</v>
      </c>
      <c r="K1" t="s">
        <v>86</v>
      </c>
      <c r="L1" t="s">
        <v>87</v>
      </c>
      <c r="M1" t="s">
        <v>113</v>
      </c>
      <c r="N1" t="s">
        <v>88</v>
      </c>
      <c r="O1" t="s">
        <v>107</v>
      </c>
      <c r="P1" t="s">
        <v>99</v>
      </c>
      <c r="Q1" t="s">
        <v>100</v>
      </c>
      <c r="R1" t="s">
        <v>114</v>
      </c>
      <c r="S1" t="s">
        <v>102</v>
      </c>
      <c r="T1" t="s">
        <v>103</v>
      </c>
      <c r="U1" t="s">
        <v>57</v>
      </c>
      <c r="V1" t="s">
        <v>58</v>
      </c>
      <c r="W1" t="s">
        <v>60</v>
      </c>
      <c r="X1" t="s">
        <v>61</v>
      </c>
      <c r="Y1" t="s">
        <v>62</v>
      </c>
      <c r="Z1" t="s">
        <v>63</v>
      </c>
      <c r="AA1" t="s">
        <v>64</v>
      </c>
      <c r="AB1" t="s">
        <v>65</v>
      </c>
      <c r="AC1" t="s">
        <v>66</v>
      </c>
      <c r="AD1" t="s">
        <v>67</v>
      </c>
      <c r="AE1" t="s">
        <v>68</v>
      </c>
      <c r="AF1" t="s">
        <v>69</v>
      </c>
      <c r="AG1" t="s">
        <v>70</v>
      </c>
      <c r="AH1" t="s">
        <v>71</v>
      </c>
      <c r="AI1" t="s">
        <v>72</v>
      </c>
      <c r="AJ1" t="s">
        <v>73</v>
      </c>
      <c r="AK1" t="s">
        <v>74</v>
      </c>
      <c r="AL1" t="s">
        <v>75</v>
      </c>
      <c r="AM1" t="s">
        <v>76</v>
      </c>
      <c r="AN1" t="s">
        <v>77</v>
      </c>
      <c r="AO1" t="s">
        <v>78</v>
      </c>
      <c r="AP1" t="s">
        <v>79</v>
      </c>
      <c r="AQ1" t="s">
        <v>80</v>
      </c>
      <c r="AR1" t="s">
        <v>81</v>
      </c>
      <c r="AS1" t="s">
        <v>82</v>
      </c>
    </row>
    <row r="2" spans="2:45" x14ac:dyDescent="0.3">
      <c r="B2" t="s">
        <v>53</v>
      </c>
      <c r="C2" t="s">
        <v>54</v>
      </c>
      <c r="D2" t="s">
        <v>112</v>
      </c>
      <c r="E2" t="s">
        <v>55</v>
      </c>
      <c r="F2" t="s">
        <v>56</v>
      </c>
      <c r="G2" t="s">
        <v>83</v>
      </c>
      <c r="H2" t="s">
        <v>59</v>
      </c>
      <c r="I2" t="s">
        <v>84</v>
      </c>
      <c r="J2" t="s">
        <v>85</v>
      </c>
      <c r="K2" t="s">
        <v>86</v>
      </c>
      <c r="L2" t="s">
        <v>87</v>
      </c>
      <c r="M2" t="s">
        <v>113</v>
      </c>
      <c r="N2" t="s">
        <v>88</v>
      </c>
      <c r="O2" t="s">
        <v>107</v>
      </c>
      <c r="P2" t="s">
        <v>99</v>
      </c>
      <c r="Q2" t="s">
        <v>100</v>
      </c>
      <c r="R2" t="s">
        <v>114</v>
      </c>
      <c r="S2" t="s">
        <v>102</v>
      </c>
      <c r="T2" t="s">
        <v>103</v>
      </c>
      <c r="U2" t="s">
        <v>57</v>
      </c>
      <c r="V2" t="s">
        <v>58</v>
      </c>
      <c r="W2" t="s">
        <v>60</v>
      </c>
      <c r="X2" t="s">
        <v>61</v>
      </c>
      <c r="Y2" t="s">
        <v>62</v>
      </c>
      <c r="Z2" t="s">
        <v>63</v>
      </c>
      <c r="AA2" t="s">
        <v>64</v>
      </c>
      <c r="AB2" t="s">
        <v>65</v>
      </c>
      <c r="AC2" t="s">
        <v>66</v>
      </c>
      <c r="AD2" t="s">
        <v>67</v>
      </c>
      <c r="AE2" t="s">
        <v>68</v>
      </c>
      <c r="AF2" t="s">
        <v>69</v>
      </c>
      <c r="AG2" t="s">
        <v>70</v>
      </c>
      <c r="AH2" t="s">
        <v>71</v>
      </c>
      <c r="AI2" t="s">
        <v>72</v>
      </c>
      <c r="AJ2" t="s">
        <v>73</v>
      </c>
      <c r="AK2" t="s">
        <v>74</v>
      </c>
      <c r="AL2" t="s">
        <v>75</v>
      </c>
      <c r="AM2" t="s">
        <v>76</v>
      </c>
      <c r="AN2" t="s">
        <v>77</v>
      </c>
      <c r="AO2" t="s">
        <v>78</v>
      </c>
      <c r="AP2" t="s">
        <v>79</v>
      </c>
      <c r="AQ2" t="s">
        <v>80</v>
      </c>
      <c r="AR2" t="s">
        <v>81</v>
      </c>
      <c r="AS2" t="s">
        <v>82</v>
      </c>
    </row>
    <row r="3" spans="2:45" x14ac:dyDescent="0.3">
      <c r="B3">
        <v>0</v>
      </c>
      <c r="C3">
        <v>0</v>
      </c>
      <c r="D3" s="16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 t="s">
        <v>120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</row>
    <row r="4" spans="2:45" x14ac:dyDescent="0.3">
      <c r="B4">
        <v>0</v>
      </c>
      <c r="C4">
        <v>0</v>
      </c>
      <c r="D4" s="16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 t="s">
        <v>115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2:45" x14ac:dyDescent="0.3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 t="s">
        <v>116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2:45" x14ac:dyDescent="0.3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 t="s">
        <v>117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2:45" x14ac:dyDescent="0.3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 t="s">
        <v>88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2:45" x14ac:dyDescent="0.3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 t="s">
        <v>119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</row>
    <row r="9" spans="2:45" x14ac:dyDescent="0.3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 t="s">
        <v>118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</row>
    <row r="10" spans="2:45" x14ac:dyDescent="0.3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 t="s">
        <v>88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Summary</vt:lpstr>
      <vt:lpstr>Dashboard</vt:lpstr>
      <vt:lpstr>Demand</vt:lpstr>
      <vt:lpstr>Generation</vt:lpstr>
      <vt:lpstr>Buses</vt:lpstr>
      <vt:lpstr>Lines</vt:lpstr>
      <vt:lpstr>Trafos</vt:lpstr>
      <vt:lpstr>Demand_ts</vt:lpstr>
      <vt:lpstr>Demand_zone</vt:lpstr>
      <vt:lpstr>Gen_ts </vt:lpstr>
      <vt:lpstr>Gen_fuel</vt:lpstr>
      <vt:lpstr>Losses_ts</vt:lpstr>
      <vt:lpstr>Losses_share</vt:lpstr>
      <vt:lpstr>Line_loading</vt:lpstr>
      <vt:lpstr>Trafo_loading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Oviedo</dc:creator>
  <cp:lastModifiedBy>Martin Oviedo</cp:lastModifiedBy>
  <dcterms:created xsi:type="dcterms:W3CDTF">2022-11-16T19:56:03Z</dcterms:created>
  <dcterms:modified xsi:type="dcterms:W3CDTF">2023-01-21T13:40:44Z</dcterms:modified>
</cp:coreProperties>
</file>