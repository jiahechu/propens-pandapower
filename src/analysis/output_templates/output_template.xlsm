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21E8EEE2-A4C1-46C7-916B-C1B4ACF8EC45}" xr6:coauthVersionLast="47" xr6:coauthVersionMax="47" xr10:uidLastSave="{00000000-0000-0000-0000-000000000000}"/>
  <bookViews>
    <workbookView xWindow="-108" yWindow="-108" windowWidth="23256" windowHeight="12456" tabRatio="799" activeTab="6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3" state="hidden" r:id="rId14"/>
    <sheet name="Trafos02" sheetId="14" state="hidden" r:id="rId15"/>
  </sheets>
  <definedNames>
    <definedName name="_xlnm._FilterDatabase" localSheetId="4" hidden="1">Buses!$D$4:$K$4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<sst xmlns="http://schemas.openxmlformats.org/spreadsheetml/2006/main" count="239" uniqueCount="139">
  <si>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</si>
  <si>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</si>
  <si>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</si>
  <si>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</si>
  <si>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</si>
  <si>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</si>
  <si>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</si>
  <si>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</si>
  <si>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</si>
  <si>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</si>
  <si>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</si>
  <si>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</si>
  <si>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</si>
  <si>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</si>
  <si>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</si>
  <si>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</si>
  <si>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</si>
  <si>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</si>
  <si>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</si>
  <si>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</si>
  <si>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</si>
  <si>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</si>
  <si>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</si>
  <si>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</si>
  <si>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</si>
  <si>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</si>
  <si>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</si>
  <si>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</si>
  <si>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</si>
  <si>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</si>
  <si>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Fuel</t>
  </si>
  <si>
    <t>Technology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</si>
  <si>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</si>
  <si>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</si>
  <si>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</si>
  <si>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</si>
  <si>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</si>
  <si>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</si>
  <si>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</si>
  <si>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</si>
  <si>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</si>
  <si>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</si>
  <si>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</si>
  <si>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</si>
  <si>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</si>
  <si>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</si>
  <si>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</si>
  <si>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</si>
  <si>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</si>
  <si>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Coal</t>
  </si>
  <si>
    <t>Steam Turbine</t>
  </si>
  <si>
    <t>NG</t>
  </si>
  <si>
    <t>Gas Turbine</t>
  </si>
  <si>
    <t>Wind</t>
  </si>
  <si>
    <t>Wind Turbine</t>
  </si>
  <si>
    <t>Sum of  Active Power [MW]</t>
  </si>
  <si>
    <t>(All)</t>
  </si>
  <si>
    <t>Max of Loading Percent [%]</t>
  </si>
  <si>
    <t>Average of Loading Percent [%]</t>
  </si>
  <si>
    <t>Min of Loading Percent [%]2</t>
  </si>
  <si>
    <t>Sum of Losses [MW]</t>
  </si>
  <si>
    <t>Column Labels</t>
  </si>
  <si>
    <t>Coal Total</t>
  </si>
  <si>
    <t>NG Total</t>
  </si>
  <si>
    <t>Wind Total</t>
  </si>
  <si>
    <t>10 Total</t>
  </si>
  <si>
    <t>Min of Loading Percent [%]3</t>
  </si>
  <si>
    <t>Total Max of Loading Percent [%]</t>
  </si>
  <si>
    <t>Total Min of Loading Percent [%]3</t>
  </si>
  <si>
    <t>Average of Loading Percent [%]2</t>
  </si>
  <si>
    <t>Total Average of Loading Percent [%]2</t>
  </si>
  <si>
    <t>Sum of Voltage [p.u]</t>
  </si>
  <si>
    <t>Sum of Active Power [MW]</t>
  </si>
  <si>
    <t>Pandapower Command</t>
  </si>
  <si>
    <t>Parameter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</si>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</sst>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2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</cellXfs>
  <cellStyles count="1">
    <cellStyle name="Normal" xfId="0" builtinId="0"/>
  </cellStyles>
  <dxfs count="42">
    <dxf>
      <alignment horizontal="center" vertical="top" textRotation="0" indent="0" justifyLastLine="0" shrinkToFit="0" readingOrder="0"/>
    </dxf>
    <dxf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 Percent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Lines01!$B$5:$B$16</c:f>
              <c:numCache>
                <c:formatCode>General</c:formatCode>
                <c:ptCount val="11"/>
                <c:pt idx="0">
                  <c:v>100.17316388101121</c:v>
                </c:pt>
                <c:pt idx="1">
                  <c:v>110.19048026911234</c:v>
                </c:pt>
                <c:pt idx="2">
                  <c:v>121.20952829602359</c:v>
                </c:pt>
                <c:pt idx="3">
                  <c:v>133.33048112562597</c:v>
                </c:pt>
                <c:pt idx="4">
                  <c:v>146.66352923818857</c:v>
                </c:pt>
                <c:pt idx="5">
                  <c:v>161.32988216200744</c:v>
                </c:pt>
                <c:pt idx="6">
                  <c:v>177.46287037820821</c:v>
                </c:pt>
                <c:pt idx="7">
                  <c:v>195.20915741602906</c:v>
                </c:pt>
                <c:pt idx="8">
                  <c:v>214.73007315763198</c:v>
                </c:pt>
                <c:pt idx="9">
                  <c:v>236.2030804733952</c:v>
                </c:pt>
                <c:pt idx="10">
                  <c:v>259.82338852073474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7-4AB8-B530-EFD45B1291C6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Average of Loading Percent [%]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Lines01!$C$5:$C$16</c:f>
              <c:numCache>
                <c:formatCode>General</c:formatCode>
                <c:ptCount val="11"/>
                <c:pt idx="0">
                  <c:v>27.143374122400207</c:v>
                </c:pt>
                <c:pt idx="1">
                  <c:v>29.857711534640231</c:v>
                </c:pt>
                <c:pt idx="2">
                  <c:v>32.84348268810426</c:v>
                </c:pt>
                <c:pt idx="3">
                  <c:v>36.127830956914693</c:v>
                </c:pt>
                <c:pt idx="4">
                  <c:v>39.740614052606162</c:v>
                </c:pt>
                <c:pt idx="5">
                  <c:v>43.714675457866782</c:v>
                </c:pt>
                <c:pt idx="6">
                  <c:v>48.086143003653468</c:v>
                </c:pt>
                <c:pt idx="7">
                  <c:v>52.894757304018817</c:v>
                </c:pt>
                <c:pt idx="8">
                  <c:v>58.184233034420707</c:v>
                </c:pt>
                <c:pt idx="9">
                  <c:v>64.002656337862788</c:v>
                </c:pt>
                <c:pt idx="10">
                  <c:v>70.402921971649064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47-4AB8-B530-EFD45B1291C6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Min of Loading Percent [%]2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Lines01!$D$5:$D$16</c:f>
              <c:numCache>
                <c:formatCode>General</c:formatCode>
                <c:ptCount val="11"/>
                <c:pt idx="0">
                  <c:v>7.2340501901582756E-5</c:v>
                </c:pt>
                <c:pt idx="1">
                  <c:v>7.9574552091741038E-5</c:v>
                </c:pt>
                <c:pt idx="2">
                  <c:v>8.753200730091515E-5</c:v>
                </c:pt>
                <c:pt idx="3">
                  <c:v>9.6285208031006677E-5</c:v>
                </c:pt>
                <c:pt idx="4">
                  <c:v>1.0591372883410735E-4</c:v>
                </c:pt>
                <c:pt idx="5">
                  <c:v>1.165051017175181E-4</c:v>
                </c:pt>
                <c:pt idx="6">
                  <c:v>1.2815561188926991E-4</c:v>
                </c:pt>
                <c:pt idx="7">
                  <c:v>1.4097117307819692E-4</c:v>
                </c:pt>
                <c:pt idx="8">
                  <c:v>1.5506829038601662E-4</c:v>
                </c:pt>
                <c:pt idx="9">
                  <c:v>1.7057511942461829E-4</c:v>
                </c:pt>
                <c:pt idx="10">
                  <c:v>1.8763263136708014E-4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47-4AB8-B530-EFD45B1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Lines02!$B$5:$B$16</c:f>
              <c:numCache>
                <c:formatCode>General</c:formatCode>
                <c:ptCount val="11"/>
                <c:pt idx="0">
                  <c:v>5.0271800432839848</c:v>
                </c:pt>
                <c:pt idx="1">
                  <c:v>5.5298980476123836</c:v>
                </c:pt>
                <c:pt idx="2">
                  <c:v>6.0828878523736218</c:v>
                </c:pt>
                <c:pt idx="3">
                  <c:v>6.6911766376109849</c:v>
                </c:pt>
                <c:pt idx="4">
                  <c:v>7.3602943013720843</c:v>
                </c:pt>
                <c:pt idx="5">
                  <c:v>8.096323731509294</c:v>
                </c:pt>
                <c:pt idx="6">
                  <c:v>8.9059561046602234</c:v>
                </c:pt>
                <c:pt idx="7">
                  <c:v>9.7965517151262471</c:v>
                </c:pt>
                <c:pt idx="8">
                  <c:v>10.776206886638873</c:v>
                </c:pt>
                <c:pt idx="9">
                  <c:v>11.853827575302761</c:v>
                </c:pt>
                <c:pt idx="10">
                  <c:v>13.039210332833038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3-4169-AAA9-6E2F402E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86-4EB8-B0FA-346B751ECC55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86-4EB8-B0FA-346B751EC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Trafos01!$B$4:$B$6</c:f>
              <c:strCache>
                <c:ptCount val="1"/>
                <c:pt idx="0">
                  <c:v>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Trafos01!$A$7:$A$18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Trafos01!$B$7:$B$18</c:f>
              <c:numCache>
                <c:formatCode>General</c:formatCode>
                <c:ptCount val="11"/>
                <c:pt idx="0">
                  <c:v>4.2405663053085721E-3</c:v>
                </c:pt>
                <c:pt idx="1">
                  <c:v>7.0676105088476196E-3</c:v>
                </c:pt>
                <c:pt idx="2">
                  <c:v>7.0676105088476196E-3</c:v>
                </c:pt>
                <c:pt idx="3">
                  <c:v>8.4811326106171443E-3</c:v>
                </c:pt>
                <c:pt idx="4">
                  <c:v>1.0177359132740572E-2</c:v>
                </c:pt>
                <c:pt idx="5">
                  <c:v>1.2212830959288684E-2</c:v>
                </c:pt>
                <c:pt idx="6">
                  <c:v>1.4655397151146421E-2</c:v>
                </c:pt>
                <c:pt idx="7">
                  <c:v>1.7586476581375705E-2</c:v>
                </c:pt>
                <c:pt idx="8">
                  <c:v>2.1103771897650843E-2</c:v>
                </c:pt>
                <c:pt idx="9">
                  <c:v>2.5324526277181011E-2</c:v>
                </c:pt>
                <c:pt idx="10">
                  <c:v>3.0389431532617212E-2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F-45A2-A24D-2EFD2E892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Trafos02!$B$4:$B$7</c:f>
              <c:strCache>
                <c:ptCount val="1"/>
                <c:pt idx="0">
                  <c:v>Max of Loading Percent [%] - 10 - 0.4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Trafos02!$B$8:$B$19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56.425638328073198</c:v>
                </c:pt>
                <c:pt idx="4">
                  <c:v>61.425638328073198</c:v>
                </c:pt>
                <c:pt idx="5">
                  <c:v>66.425638328073205</c:v>
                </c:pt>
                <c:pt idx="6">
                  <c:v>71.425638328073205</c:v>
                </c:pt>
                <c:pt idx="7">
                  <c:v>76.425638328073205</c:v>
                </c:pt>
                <c:pt idx="8">
                  <c:v>81.425638328073205</c:v>
                </c:pt>
                <c:pt idx="9">
                  <c:v>86.425638328073205</c:v>
                </c:pt>
                <c:pt idx="10">
                  <c:v>91.425638328073205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A-4FB2-80B9-0210A0409809}"/>
            </c:ext>
          </c:extLst>
        </c:ser>
        <c:ser>
          <c:idx val="1"/>
          <c:order val="1"/>
          <c:tx>
            <c:strRef>
              <c:f>Trafos02!$D$4:$D$7</c:f>
              <c:strCache>
                <c:ptCount val="1"/>
                <c:pt idx="0">
                  <c:v>Average of Loading Percent [%]2 - 10 - 0.4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Trafos02!$D$8:$D$19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54.425638328073205</c:v>
                </c:pt>
                <c:pt idx="4">
                  <c:v>59.425638328073191</c:v>
                </c:pt>
                <c:pt idx="5">
                  <c:v>64.425638328073205</c:v>
                </c:pt>
                <c:pt idx="6">
                  <c:v>69.425638328073205</c:v>
                </c:pt>
                <c:pt idx="7">
                  <c:v>74.425638328073205</c:v>
                </c:pt>
                <c:pt idx="8">
                  <c:v>79.425638328073205</c:v>
                </c:pt>
                <c:pt idx="9">
                  <c:v>84.425638328073205</c:v>
                </c:pt>
                <c:pt idx="10">
                  <c:v>89.425638328073205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A-4FB2-80B9-0210A0409809}"/>
            </c:ext>
          </c:extLst>
        </c:ser>
        <c:ser>
          <c:idx val="2"/>
          <c:order val="2"/>
          <c:tx>
            <c:strRef>
              <c:f>Trafos02!$F$4:$F$7</c:f>
              <c:strCache>
                <c:ptCount val="1"/>
                <c:pt idx="0">
                  <c:v>Min of Loading Percent [%]3 - 10 - 0.4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Trafos02!$F$8:$F$19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52.425638328073241</c:v>
                </c:pt>
                <c:pt idx="4">
                  <c:v>57.425638328073198</c:v>
                </c:pt>
                <c:pt idx="5">
                  <c:v>62.425638328073198</c:v>
                </c:pt>
                <c:pt idx="6">
                  <c:v>67.425638328073205</c:v>
                </c:pt>
                <c:pt idx="7">
                  <c:v>72.425638328073205</c:v>
                </c:pt>
                <c:pt idx="8">
                  <c:v>77.425638328073205</c:v>
                </c:pt>
                <c:pt idx="9">
                  <c:v>82.425638328073205</c:v>
                </c:pt>
                <c:pt idx="10">
                  <c:v>87.425638328073205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7A-4FB2-80B9-0210A0409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8D-46B4-8664-168D352E4F2F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8D-46B4-8664-168D352E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'bus01'!$B$5:$B$10</c:f>
              <c:numCache>
                <c:formatCode>General</c:formatCode>
                <c:ptCount val="5"/>
                <c:pt idx="0">
                  <c:v>0.99999999999999989</c:v>
                </c:pt>
                <c:pt idx="1">
                  <c:v>0.98926123711798553</c:v>
                </c:pt>
                <c:pt idx="2">
                  <c:v>1</c:v>
                </c:pt>
                <c:pt idx="3">
                  <c:v>1</c:v>
                </c:pt>
                <c:pt idx="4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8-467F-A7B4-002686F17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Demand01!$B$4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Demand01!$A$5:$A$16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Demand01!$B$5:$B$16</c:f>
              <c:numCache>
                <c:formatCode>General</c:formatCode>
                <c:ptCount val="11"/>
                <c:pt idx="0">
                  <c:v>1000</c:v>
                </c:pt>
                <c:pt idx="1">
                  <c:v>1100</c:v>
                </c:pt>
                <c:pt idx="2">
                  <c:v>1210.0000000000002</c:v>
                </c:pt>
                <c:pt idx="3">
                  <c:v>1331.0000000000005</c:v>
                </c:pt>
                <c:pt idx="4">
                  <c:v>1464.1000000000006</c:v>
                </c:pt>
                <c:pt idx="5">
                  <c:v>1610.5100000000007</c:v>
                </c:pt>
                <c:pt idx="6">
                  <c:v>1771.5610000000011</c:v>
                </c:pt>
                <c:pt idx="7">
                  <c:v>1948.7171000000012</c:v>
                </c:pt>
                <c:pt idx="8">
                  <c:v>2143.5888100000016</c:v>
                </c:pt>
                <c:pt idx="9">
                  <c:v>2357.9476910000017</c:v>
                </c:pt>
                <c:pt idx="10">
                  <c:v>2593.7424601000021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9-4431-85F9-0B99C4A7B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801135"/>
        <c:axId val="451794063"/>
      </c:line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22860</xdr:rowOff>
        </xdr:from>
        <xdr:to>
          <xdr:col>5</xdr:col>
          <xdr:colOff>0</xdr:colOff>
          <xdr:row>8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4224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8</xdr:col>
      <xdr:colOff>124810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126145</xdr:colOff>
      <xdr:row>23</xdr:row>
      <xdr:rowOff>57978</xdr:rowOff>
    </xdr:from>
    <xdr:to>
      <xdr:col>23</xdr:col>
      <xdr:colOff>433754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211592</xdr:colOff>
      <xdr:row>85</xdr:row>
      <xdr:rowOff>44556</xdr:rowOff>
    </xdr:from>
    <xdr:to>
      <xdr:col>23</xdr:col>
      <xdr:colOff>465015</xdr:colOff>
      <xdr:row>100</xdr:row>
      <xdr:rowOff>98776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87.793053125002" createdVersion="8" refreshedVersion="8" minRefreshableVersion="3" recordCount="33" xr:uid="{B39AD0D5-320F-4CDE-AAEA-6154DD2D13D1}">
  <cacheSource type="worksheet">
    <worksheetSource name="generation_table"/>
  </cacheSource>
  <cacheFields count="16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Bus Index" numFmtId="0">
      <sharedItems containsSemiMixedTypes="0" containsString="0" containsNumber="1" containsInteger="1" minValue="0" maxValue="4"/>
    </cacheField>
    <cacheField name="Generator Index" numFmtId="0">
      <sharedItems containsSemiMixedTypes="0" containsString="0" containsNumber="1" containsInteger="1" minValue="0" maxValue="2"/>
    </cacheField>
    <cacheField name="Fuel" numFmtId="0">
      <sharedItems count="3">
        <s v="Coal"/>
        <s v="NG"/>
        <s v="Wind"/>
      </sharedItems>
    </cacheField>
    <cacheField name="Technology" numFmtId="0">
      <sharedItems count="3">
        <s v="Steam Turbine"/>
        <s v="Gas Turbine"/>
        <s v="Wind Turbine"/>
      </sharedItems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Name" numFmtId="0">
      <sharedItems/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containsInteger="1" minValue="1" maxValue="1"/>
    </cacheField>
    <cacheField name="Maximum Active Power [MW]" numFmtId="0">
      <sharedItems containsSemiMixedTypes="0" containsString="0" containsNumber="1" minValue="40" maxValue="966.30600000000038"/>
    </cacheField>
    <cacheField name="Maximum Reactive Power [MVAr]" numFmtId="0">
      <sharedItems containsSemiMixedTypes="0" containsString="0" containsNumber="1" minValue="30" maxValue="724.72950000000037"/>
    </cacheField>
    <cacheField name="Minimum Active Power [MW]" numFmtId="0">
      <sharedItems containsSemiMixedTypes="0" containsString="0" containsNumber="1" containsInteger="1" minValue="0" maxValue="0"/>
    </cacheField>
    <cacheField name="Minimum Reactive Power [MVAr]" numFmtId="0">
      <sharedItems containsSemiMixedTypes="0" containsString="0" containsNumber="1" minValue="-724.72950000000037" maxValue="-30"/>
    </cacheField>
    <cacheField name=" Active Power [MW]" numFmtId="0">
      <sharedItems containsSemiMixedTypes="0" containsString="0" containsNumber="1" minValue="40" maxValue="1210.0067950612518"/>
    </cacheField>
    <cacheField name=" Reactive Power [MVAr]" numFmtId="0">
      <sharedItems containsSemiMixedTypes="0" containsString="0" containsNumber="1" minValue="-61.536980653481564" maxValue="313.49337341714568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16507870369" createdVersion="8" refreshedVersion="8" minRefreshableVersion="3" recordCount="53" xr:uid="{94605D9B-A09C-43DF-8117-38A3B979163A}">
  <cacheSource type="worksheet">
    <worksheetSource name="trafos_table"/>
  </cacheSource>
  <cacheFields count="21">
    <cacheField name="Time 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unt="1">
        <s v="---"/>
      </sharedItems>
    </cacheField>
    <cacheField name="Trafo Index" numFmtId="0">
      <sharedItems containsSemiMixedTypes="0" containsString="0" containsNumber="1" containsInteger="1" minValue="0" maxValue="39"/>
    </cacheField>
    <cacheField name="Name" numFmtId="0">
      <sharedItems/>
    </cacheField>
    <cacheField name="Std Type" numFmtId="0">
      <sharedItems/>
    </cacheField>
    <cacheField name="HV Bus" numFmtId="0">
      <sharedItems containsSemiMixedTypes="0" containsString="0" containsNumber="1" containsInteger="1" minValue="0" maxValue="0"/>
    </cacheField>
    <cacheField name="LV Bus" numFmtId="0">
      <sharedItems containsSemiMixedTypes="0" containsString="0" containsNumber="1" containsInteger="1" minValue="1" maxValue="1"/>
    </cacheField>
    <cacheField name="High Voltage Side [kV]" numFmtId="0">
      <sharedItems containsSemiMixedTypes="0" containsString="0" containsNumber="1" containsInteger="1" minValue="10" maxValue="10" count="1">
        <n v="10"/>
      </sharedItems>
    </cacheField>
    <cacheField name="Low Voltage Side [kV] " numFmtId="0">
      <sharedItems containsSemiMixedTypes="0" containsString="0" containsNumber="1" minValue="0.4" maxValue="0.4" count="1">
        <n v="0.4"/>
      </sharedItems>
    </cacheField>
    <cacheField name="FE Losses [kW]" numFmtId="0">
      <sharedItems containsSemiMixedTypes="0" containsString="0" containsNumber="1" minValue="0.6" maxValue="0.6"/>
    </cacheField>
    <cacheField name="Shift Degree" numFmtId="0">
      <sharedItems containsSemiMixedTypes="0" containsString="0" containsNumber="1" containsInteger="1" minValue="150" maxValue="150"/>
    </cacheField>
    <cacheField name="Tap Position" numFmtId="0">
      <sharedItems containsSemiMixedTypes="0" containsString="0" containsNumber="1" containsInteger="1" minValue="0" maxValue="0"/>
    </cacheField>
    <cacheField name="Number of Trafos in Parallel" numFmtId="0">
      <sharedItems containsSemiMixedTypes="0" containsString="0" containsNumber="1" containsInteger="1" minValue="1" maxValue="1"/>
    </cacheField>
    <cacheField name="In Service" numFmtId="0">
      <sharedItems containsSemiMixedTypes="0" containsString="0" containsNumber="1" containsInteger="1" minValue="1" maxValue="1"/>
    </cacheField>
    <cacheField name="HV Act. Power [MW]" numFmtId="0">
      <sharedItems containsSemiMixedTypes="0" containsString="0" containsNumber="1" minValue="0.1236666454897191" maxValue="0.1236666454897191"/>
    </cacheField>
    <cacheField name="HV React. Power [MVAr]" numFmtId="0">
      <sharedItems containsSemiMixedTypes="0" containsString="0" containsNumber="1" minValue="4.3409192649510153E-2" maxValue="4.3409192649510153E-2"/>
    </cacheField>
    <cacheField name="LV Act. Power [MW]" numFmtId="0">
      <sharedItems containsSemiMixedTypes="0" containsString="0" containsNumber="1" minValue="-0.1222531233879495" maxValue="-0.1222531233879495"/>
    </cacheField>
    <cacheField name="LV React. Power [MVAr]" numFmtId="0">
      <sharedItems containsSemiMixedTypes="0" containsString="0" containsNumber="1" minValue="-4.0798601062843547E-2" maxValue="-4.0798601062843547E-2"/>
    </cacheField>
    <cacheField name="Losses [MW]" numFmtId="0">
      <sharedItems containsSemiMixedTypes="0" containsString="0" containsNumber="1" minValue="1.413522101769524E-3" maxValue="6.0778863065234423E-3"/>
    </cacheField>
    <cacheField name="Losses [MVAr]" numFmtId="0">
      <sharedItems containsSemiMixedTypes="0" containsString="0" containsNumber="1" minValue="2.6105915866666001E-3" maxValue="1.1225065979982353E-2"/>
    </cacheField>
    <cacheField name="Loading Percent [%]" numFmtId="0">
      <sharedItems containsSemiMixedTypes="0" containsString="0" containsNumber="1" minValue="52.425638328073241" maxValue="91.425638328073205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0291782407" createdVersion="8" refreshedVersion="8" minRefreshableVersion="3" recordCount="10" xr:uid="{5270DA27-09A3-4A5E-B1AE-BD7F984983B9}">
  <cacheSource type="worksheet">
    <worksheetSource name="bus_table"/>
  </cacheSource>
  <cacheFields count="10">
    <cacheField name="Step" numFmtId="0">
      <sharedItems containsSemiMixedTypes="0" containsString="0" containsNumber="1" containsInteger="1" minValue="0" maxValue="1" count="2">
        <n v="0"/>
        <n v="1"/>
      </sharedItems>
    </cacheField>
    <cacheField name="Bus Index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Name" numFmtId="0">
      <sharedItems containsSemiMixedTypes="0" containsString="0" containsNumber="1" containsInteger="1" minValue="0" maxValue="4"/>
    </cacheField>
    <cacheField name="Voltage Level [kV]" numFmtId="0">
      <sharedItems containsSemiMixedTypes="0" containsString="0" containsNumber="1" containsInteger="1" minValue="230" maxValue="230" count="1">
        <n v="230"/>
      </sharedItems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minValue="0.98926123711798553" maxValue="1"/>
    </cacheField>
    <cacheField name="Voltage Phase [degree]" numFmtId="0">
      <sharedItems containsSemiMixedTypes="0" containsString="0" containsNumber="1" minValue="-0.75926928516448189" maxValue="4.112031000646839"/>
    </cacheField>
    <cacheField name="Active Power [MW]" numFmtId="0">
      <sharedItems containsSemiMixedTypes="0" containsString="0" containsNumber="1" minValue="-466.51" maxValue="394.97281995671602"/>
    </cacheField>
    <cacheField name="Reactive Power [MVAr]" numFmtId="0">
      <sharedItems containsSemiMixedTypes="0" containsString="0" containsNumber="1" minValue="-96.044720192451805" maxValue="98.6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7307754631" createdVersion="8" refreshedVersion="8" minRefreshableVersion="3" recordCount="33" xr:uid="{FD2DEA7C-01DB-41E3-9168-1201B46ACFCF}">
  <cacheSource type="worksheet">
    <worksheetSource name="demand_table"/>
  </cacheSource>
  <cacheFields count="8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oad Index" numFmtId="0">
      <sharedItems containsSemiMixedTypes="0" containsString="0" containsNumber="1" containsInteger="1" minValue="0" maxValue="2"/>
    </cacheField>
    <cacheField name="Bus Index" numFmtId="0">
      <sharedItems containsSemiMixedTypes="0" containsString="0" containsNumber="1" containsInteger="1" minValue="1" maxValue="3"/>
    </cacheField>
    <cacheField name="In service" numFmtId="0">
      <sharedItems containsSemiMixedTypes="0" containsString="0" containsNumber="1" containsInteger="1" minValue="1" maxValue="1"/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Active Power [MW]" numFmtId="0">
      <sharedItems containsSemiMixedTypes="0" containsString="0" containsNumber="1" minValue="300" maxValue="1037.4969840400011"/>
    </cacheField>
    <cacheField name="Reactive Power [MVAr]" numFmtId="0">
      <sharedItems containsSemiMixedTypes="0" containsString="0" containsNumber="1" minValue="98.61" maxValue="340.99932122934723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5.500105671294" createdVersion="8" refreshedVersion="8" minRefreshableVersion="3" recordCount="66" xr:uid="{31659242-2421-4528-918B-0B0964891456}">
  <cacheSource type="worksheet">
    <worksheetSource name="lines_table"/>
  </cacheSource>
  <cacheFields count="20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ine Index" numFmtId="0">
      <sharedItems containsSemiMixedTypes="0" containsString="0" containsNumber="1" containsInteger="1" minValue="0" maxValue="5"/>
    </cacheField>
    <cacheField name="Voltage Level [kV]" numFmtId="0">
      <sharedItems containsSemiMixedTypes="0" containsString="0" containsNumber="1" containsInteger="1" minValue="110" maxValue="230" count="2">
        <n v="110"/>
        <n v="230"/>
      </sharedItems>
    </cacheField>
    <cacheField name="Name" numFmtId="0">
      <sharedItems/>
    </cacheField>
    <cacheField name="From bus" numFmtId="0">
      <sharedItems containsSemiMixedTypes="0" containsString="0" containsNumber="1" containsInteger="1" minValue="0" maxValue="3"/>
    </cacheField>
    <cacheField name="To Bus" numFmtId="0">
      <sharedItems containsSemiMixedTypes="0" containsString="0" containsNumber="1" containsInteger="1" minValue="1" maxValue="4"/>
    </cacheField>
    <cacheField name="In service" numFmtId="0">
      <sharedItems containsSemiMixedTypes="0" containsString="0" containsNumber="1" containsInteger="1" minValue="1" maxValue="1"/>
    </cacheField>
    <cacheField name="Length [km]" numFmtId="0">
      <sharedItems containsSemiMixedTypes="0" containsString="0" containsNumber="1" containsInteger="1" minValue="1" maxValue="1"/>
    </cacheField>
    <cacheField name="Maximum Current [kA]" numFmtId="0">
      <sharedItems containsSemiMixedTypes="0" containsString="0" containsNumber="1" minValue="0.60245245480656995" maxValue="99999"/>
    </cacheField>
    <cacheField name="Maximum Loading [%]" numFmtId="0">
      <sharedItems containsSemiMixedTypes="0" containsString="0" containsNumber="1" containsInteger="1" minValue="100" maxValue="100"/>
    </cacheField>
    <cacheField name="Number of Lines in Parallel" numFmtId="0">
      <sharedItems containsSemiMixedTypes="0" containsString="0" containsNumber="1" containsInteger="1" minValue="1" maxValue="1"/>
    </cacheField>
    <cacheField name="Std. Type" numFmtId="0">
      <sharedItems/>
    </cacheField>
    <cacheField name="From Bus Act. Power [MW]" numFmtId="0">
      <sharedItems containsSemiMixedTypes="0" containsString="0" containsNumber="1" minValue="-4010.26924206584" maxValue="249.77337254090111"/>
    </cacheField>
    <cacheField name="From Bus Raact. Power [MVAr]" numFmtId="0">
      <sharedItems containsSemiMixedTypes="0" containsString="0" containsNumber="1" minValue="-93.97263244914096" maxValue="563.13593226936302"/>
    </cacheField>
    <cacheField name="To Bus Act. Power [MW]" numFmtId="0">
      <sharedItems containsSemiMixedTypes="0" containsString="0" containsNumber="1" minValue="-248.00676027720101" maxValue="4042.4367684149101"/>
    </cacheField>
    <cacheField name="To Bus Raact. Power [MVAr]" numFmtId="0">
      <sharedItems containsSemiMixedTypes="0" containsString="0" containsNumber="1" minValue="-242.134668778687" maxValue="93.394588456737864"/>
    </cacheField>
    <cacheField name="Losses [MW]" numFmtId="0">
      <sharedItems containsSemiMixedTypes="0" containsString="0" containsNumber="1" minValue="2.460713215354815E-2" maxValue="4.5821372388923232"/>
    </cacheField>
    <cacheField name="Losses [MVAr]" numFmtId="0">
      <sharedItems containsSemiMixedTypes="0" containsString="0" containsNumber="1" minValue="-0.57804399240309579" maxValue="321.00126349067699"/>
    </cacheField>
    <cacheField name="Loading Percent [%]" numFmtId="0">
      <sharedItems containsSemiMixedTypes="0" containsString="0" containsNumber="1" minValue="7.2340501901582756E-5" maxValue="259.82338852073474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397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06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06"/>
    <n v="-38.209623444425397"/>
  </r>
  <r>
    <x v="2"/>
    <x v="0"/>
    <n v="0"/>
    <n v="0"/>
    <x v="0"/>
    <x v="0"/>
    <x v="0"/>
    <s v="---"/>
    <n v="1"/>
    <n v="1"/>
    <n v="44"/>
    <n v="33"/>
    <n v="0"/>
    <n v="-33"/>
    <n v="48.400000000000006"/>
    <n v="33.797675869773613"/>
  </r>
  <r>
    <x v="2"/>
    <x v="0"/>
    <n v="2"/>
    <n v="1"/>
    <x v="1"/>
    <x v="1"/>
    <x v="0"/>
    <s v="---"/>
    <n v="1"/>
    <n v="1"/>
    <n v="572"/>
    <n v="429.00000000000006"/>
    <n v="0"/>
    <n v="-429.00000000000006"/>
    <n v="391.42290000000008"/>
    <n v="214.120192211697"/>
  </r>
  <r>
    <x v="2"/>
    <x v="0"/>
    <n v="4"/>
    <n v="2"/>
    <x v="2"/>
    <x v="2"/>
    <x v="1"/>
    <s v="---"/>
    <n v="1"/>
    <n v="1"/>
    <n v="660"/>
    <n v="495.00000000000006"/>
    <n v="0"/>
    <n v="-495.00000000000006"/>
    <n v="564.47710000000006"/>
    <n v="-42.030585788867938"/>
  </r>
  <r>
    <x v="3"/>
    <x v="0"/>
    <n v="0"/>
    <n v="0"/>
    <x v="0"/>
    <x v="0"/>
    <x v="0"/>
    <s v="---"/>
    <n v="1"/>
    <n v="1"/>
    <n v="44"/>
    <n v="33"/>
    <n v="0"/>
    <n v="-33"/>
    <n v="53.240000000000009"/>
    <n v="33.797675869773613"/>
  </r>
  <r>
    <x v="3"/>
    <x v="0"/>
    <n v="2"/>
    <n v="1"/>
    <x v="1"/>
    <x v="1"/>
    <x v="0"/>
    <s v="---"/>
    <n v="1"/>
    <n v="1"/>
    <n v="572"/>
    <n v="429.00000000000006"/>
    <n v="0"/>
    <n v="-429.00000000000006"/>
    <n v="430.56519000000014"/>
    <n v="214.120192211697"/>
  </r>
  <r>
    <x v="3"/>
    <x v="0"/>
    <n v="4"/>
    <n v="2"/>
    <x v="2"/>
    <x v="2"/>
    <x v="1"/>
    <s v="---"/>
    <n v="1"/>
    <n v="1"/>
    <n v="660"/>
    <n v="495.00000000000006"/>
    <n v="0"/>
    <n v="-495.00000000000006"/>
    <n v="620.92481000000009"/>
    <n v="-42.030585788867938"/>
  </r>
  <r>
    <x v="4"/>
    <x v="0"/>
    <n v="0"/>
    <n v="0"/>
    <x v="0"/>
    <x v="0"/>
    <x v="0"/>
    <s v="---"/>
    <n v="1"/>
    <n v="1"/>
    <n v="48.400000000000006"/>
    <n v="36.300000000000004"/>
    <n v="0"/>
    <n v="-36.300000000000004"/>
    <n v="58.564000000000014"/>
    <n v="37.177443456750979"/>
  </r>
  <r>
    <x v="4"/>
    <x v="0"/>
    <n v="2"/>
    <n v="1"/>
    <x v="1"/>
    <x v="1"/>
    <x v="0"/>
    <s v="---"/>
    <n v="1"/>
    <n v="1"/>
    <n v="629.20000000000005"/>
    <n v="471.90000000000009"/>
    <n v="0"/>
    <n v="-471.90000000000009"/>
    <n v="473.62170900000018"/>
    <n v="235.53221143286672"/>
  </r>
  <r>
    <x v="4"/>
    <x v="0"/>
    <n v="4"/>
    <n v="2"/>
    <x v="2"/>
    <x v="2"/>
    <x v="1"/>
    <s v="---"/>
    <n v="1"/>
    <n v="1"/>
    <n v="726.00000000000011"/>
    <n v="544.50000000000011"/>
    <n v="0"/>
    <n v="-544.50000000000011"/>
    <n v="683.01729100000011"/>
    <n v="-46.233644367754735"/>
  </r>
  <r>
    <x v="5"/>
    <x v="0"/>
    <n v="0"/>
    <n v="0"/>
    <x v="0"/>
    <x v="0"/>
    <x v="0"/>
    <s v="---"/>
    <n v="1"/>
    <n v="1"/>
    <n v="48.400000000000006"/>
    <n v="36.300000000000004"/>
    <n v="0"/>
    <n v="-36.300000000000004"/>
    <n v="64.420400000000015"/>
    <n v="37.177443456750979"/>
  </r>
  <r>
    <x v="5"/>
    <x v="0"/>
    <n v="2"/>
    <n v="1"/>
    <x v="1"/>
    <x v="1"/>
    <x v="0"/>
    <s v="---"/>
    <n v="1"/>
    <n v="1"/>
    <n v="629.20000000000005"/>
    <n v="471.90000000000009"/>
    <n v="0"/>
    <n v="-471.90000000000009"/>
    <n v="520.98387990000026"/>
    <n v="235.53221143286672"/>
  </r>
  <r>
    <x v="5"/>
    <x v="0"/>
    <n v="4"/>
    <n v="2"/>
    <x v="2"/>
    <x v="2"/>
    <x v="1"/>
    <s v="---"/>
    <n v="1"/>
    <n v="1"/>
    <n v="726.00000000000011"/>
    <n v="544.50000000000011"/>
    <n v="0"/>
    <n v="-544.50000000000011"/>
    <n v="751.31902010000022"/>
    <n v="-46.233644367754735"/>
  </r>
  <r>
    <x v="6"/>
    <x v="0"/>
    <n v="0"/>
    <n v="0"/>
    <x v="0"/>
    <x v="0"/>
    <x v="0"/>
    <s v="---"/>
    <n v="1"/>
    <n v="1"/>
    <n v="53.240000000000009"/>
    <n v="39.930000000000007"/>
    <n v="0"/>
    <n v="-39.930000000000007"/>
    <n v="70.862440000000021"/>
    <n v="40.895187802426079"/>
  </r>
  <r>
    <x v="6"/>
    <x v="0"/>
    <n v="2"/>
    <n v="1"/>
    <x v="1"/>
    <x v="1"/>
    <x v="0"/>
    <s v="---"/>
    <n v="1"/>
    <n v="1"/>
    <n v="692.12000000000012"/>
    <n v="519.09000000000015"/>
    <n v="0"/>
    <n v="-519.09000000000015"/>
    <n v="573.08226789000037"/>
    <n v="259.08543257615344"/>
  </r>
  <r>
    <x v="6"/>
    <x v="0"/>
    <n v="4"/>
    <n v="2"/>
    <x v="2"/>
    <x v="2"/>
    <x v="1"/>
    <s v="---"/>
    <n v="1"/>
    <n v="1"/>
    <n v="798.60000000000014"/>
    <n v="598.95000000000016"/>
    <n v="0"/>
    <n v="-598.95000000000016"/>
    <n v="826.45092211000031"/>
    <n v="-50.85700880453021"/>
  </r>
  <r>
    <x v="7"/>
    <x v="0"/>
    <n v="0"/>
    <n v="0"/>
    <x v="0"/>
    <x v="0"/>
    <x v="0"/>
    <s v="---"/>
    <n v="1"/>
    <n v="1"/>
    <n v="53.240000000000009"/>
    <n v="39.930000000000007"/>
    <n v="0"/>
    <n v="-39.930000000000007"/>
    <n v="77.948684000000029"/>
    <n v="40.895187802426079"/>
  </r>
  <r>
    <x v="7"/>
    <x v="0"/>
    <n v="2"/>
    <n v="1"/>
    <x v="1"/>
    <x v="1"/>
    <x v="0"/>
    <s v="---"/>
    <n v="1"/>
    <n v="1"/>
    <n v="692.12000000000012"/>
    <n v="519.09000000000015"/>
    <n v="0"/>
    <n v="-519.09000000000015"/>
    <n v="630.39049467900043"/>
    <n v="259.08543257615344"/>
  </r>
  <r>
    <x v="7"/>
    <x v="0"/>
    <n v="4"/>
    <n v="2"/>
    <x v="2"/>
    <x v="2"/>
    <x v="1"/>
    <s v="---"/>
    <n v="1"/>
    <n v="1"/>
    <n v="798.60000000000014"/>
    <n v="598.95000000000016"/>
    <n v="0"/>
    <n v="-598.95000000000016"/>
    <n v="909.09601432100044"/>
    <n v="-50.85700880453021"/>
  </r>
  <r>
    <x v="8"/>
    <x v="0"/>
    <n v="0"/>
    <n v="0"/>
    <x v="0"/>
    <x v="0"/>
    <x v="0"/>
    <s v="---"/>
    <n v="1"/>
    <n v="1"/>
    <n v="58.564000000000014"/>
    <n v="43.923000000000009"/>
    <n v="0"/>
    <n v="-43.923000000000009"/>
    <n v="85.743552400000041"/>
    <n v="44.984706582668693"/>
  </r>
  <r>
    <x v="8"/>
    <x v="0"/>
    <n v="2"/>
    <n v="1"/>
    <x v="1"/>
    <x v="1"/>
    <x v="0"/>
    <s v="---"/>
    <n v="1"/>
    <n v="1"/>
    <n v="761.33200000000022"/>
    <n v="570.99900000000025"/>
    <n v="0"/>
    <n v="-570.99900000000025"/>
    <n v="693.42954414690053"/>
    <n v="284.99397583376879"/>
  </r>
  <r>
    <x v="8"/>
    <x v="0"/>
    <n v="4"/>
    <n v="2"/>
    <x v="2"/>
    <x v="2"/>
    <x v="1"/>
    <s v="---"/>
    <n v="1"/>
    <n v="1"/>
    <n v="878.46000000000026"/>
    <n v="658.84500000000025"/>
    <n v="0"/>
    <n v="-658.84500000000025"/>
    <n v="1000.0056157531005"/>
    <n v="-55.942709684983235"/>
  </r>
  <r>
    <x v="9"/>
    <x v="0"/>
    <n v="0"/>
    <n v="0"/>
    <x v="0"/>
    <x v="0"/>
    <x v="0"/>
    <s v="---"/>
    <n v="1"/>
    <n v="1"/>
    <n v="58.564000000000014"/>
    <n v="43.923000000000009"/>
    <n v="0"/>
    <n v="-43.923000000000009"/>
    <n v="94.317907640000058"/>
    <n v="44.984706582668693"/>
  </r>
  <r>
    <x v="9"/>
    <x v="0"/>
    <n v="2"/>
    <n v="1"/>
    <x v="1"/>
    <x v="1"/>
    <x v="0"/>
    <s v="---"/>
    <n v="1"/>
    <n v="1"/>
    <n v="761.33200000000022"/>
    <n v="570.99900000000025"/>
    <n v="0"/>
    <n v="-570.99900000000025"/>
    <n v="762.77249856159062"/>
    <n v="284.99397583376879"/>
  </r>
  <r>
    <x v="9"/>
    <x v="0"/>
    <n v="4"/>
    <n v="2"/>
    <x v="2"/>
    <x v="2"/>
    <x v="1"/>
    <s v="---"/>
    <n v="1"/>
    <n v="1"/>
    <n v="878.46000000000026"/>
    <n v="658.84500000000025"/>
    <n v="0"/>
    <n v="-658.84500000000025"/>
    <n v="1100.0061773284106"/>
    <n v="-55.942709684983235"/>
  </r>
  <r>
    <x v="10"/>
    <x v="0"/>
    <n v="0"/>
    <n v="0"/>
    <x v="0"/>
    <x v="0"/>
    <x v="0"/>
    <s v="---"/>
    <n v="1"/>
    <n v="1"/>
    <n v="64.420400000000015"/>
    <n v="48.315300000000015"/>
    <n v="0"/>
    <n v="-48.315300000000015"/>
    <n v="103.74969840400007"/>
    <n v="49.483177240935568"/>
  </r>
  <r>
    <x v="10"/>
    <x v="0"/>
    <n v="2"/>
    <n v="1"/>
    <x v="1"/>
    <x v="1"/>
    <x v="0"/>
    <s v="---"/>
    <n v="1"/>
    <n v="1"/>
    <n v="837.46520000000032"/>
    <n v="628.0989000000003"/>
    <n v="0"/>
    <n v="-628.0989000000003"/>
    <n v="839.0497484177497"/>
    <n v="313.49337341714568"/>
  </r>
  <r>
    <x v="10"/>
    <x v="0"/>
    <n v="4"/>
    <n v="2"/>
    <x v="2"/>
    <x v="2"/>
    <x v="1"/>
    <s v="---"/>
    <n v="1"/>
    <n v="1"/>
    <n v="966.30600000000038"/>
    <n v="724.72950000000037"/>
    <n v="0"/>
    <n v="-724.72950000000037"/>
    <n v="1210.0067950612518"/>
    <n v="-61.5369806534815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2.425638328073241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3.425638328073198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4.425638328073198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5.425638328073198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6.425638328073198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7.425638328073198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8.425638328073198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9.425638328073198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0.425638328073198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1.425638328073198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2.425638328073198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3.425638328073198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4.425638328073205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5.425638328073205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6.425638328073205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7.425638328073205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8.425638328073205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9.425638328073205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0.425638328073205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1.425638328073205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2.425638328073205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3.425638328073205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4.425638328073205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5.425638328073205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6.425638328073205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7.425638328073205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8.425638328073205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9.425638328073205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0.425638328073205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1.425638328073205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2.425638328073205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3.425638328073205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4.425638328073205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5.425638328073205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6.425638328073205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7.425638328073205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8.425638328073205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9.425638328073205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0.425638328073205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1.4256383280732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0"/>
    <x v="0"/>
    <n v="1"/>
    <n v="0.99999999999999989"/>
    <n v="3.2733608540247712"/>
    <n v="-210"/>
    <n v="-30.72515988161237"/>
  </r>
  <r>
    <x v="0"/>
    <x v="1"/>
    <x v="0"/>
    <n v="1"/>
    <x v="0"/>
    <n v="1"/>
    <n v="0.98926123711798553"/>
    <n v="-0.75926928516448189"/>
    <n v="300"/>
    <n v="98.61"/>
  </r>
  <r>
    <x v="0"/>
    <x v="2"/>
    <x v="0"/>
    <n v="2"/>
    <x v="0"/>
    <n v="1"/>
    <n v="1"/>
    <n v="-0.49225867740469942"/>
    <n v="-23.490000000000009"/>
    <n v="-96.044720192451805"/>
  </r>
  <r>
    <x v="0"/>
    <x v="3"/>
    <x v="0"/>
    <n v="3"/>
    <x v="0"/>
    <n v="1"/>
    <n v="1"/>
    <n v="0"/>
    <n v="394.97281995671602"/>
    <n v="-52.652930149676543"/>
  </r>
  <r>
    <x v="0"/>
    <x v="4"/>
    <x v="0"/>
    <n v="4"/>
    <x v="0"/>
    <n v="1"/>
    <n v="0.99999999999999989"/>
    <n v="4.112031000646839"/>
    <n v="-466.51"/>
    <n v="38.209623444425397"/>
  </r>
  <r>
    <x v="1"/>
    <x v="0"/>
    <x v="0"/>
    <n v="0"/>
    <x v="0"/>
    <n v="1"/>
    <n v="0.99999999999999989"/>
    <n v="3.2733608540247712"/>
    <n v="-210"/>
    <n v="-30.72515988161237"/>
  </r>
  <r>
    <x v="1"/>
    <x v="1"/>
    <x v="0"/>
    <n v="1"/>
    <x v="0"/>
    <n v="1"/>
    <n v="0.98926123711798553"/>
    <n v="-0.75926928516448189"/>
    <n v="300"/>
    <n v="98.61"/>
  </r>
  <r>
    <x v="1"/>
    <x v="2"/>
    <x v="0"/>
    <n v="2"/>
    <x v="0"/>
    <n v="1"/>
    <n v="1"/>
    <n v="-0.49225867740469942"/>
    <n v="-23.490000000000009"/>
    <n v="-96.044720192451805"/>
  </r>
  <r>
    <x v="1"/>
    <x v="3"/>
    <x v="0"/>
    <n v="3"/>
    <x v="0"/>
    <n v="1"/>
    <n v="1"/>
    <n v="0"/>
    <n v="394.97281995671602"/>
    <n v="-52.652930149676543"/>
  </r>
  <r>
    <x v="1"/>
    <x v="4"/>
    <x v="0"/>
    <n v="4"/>
    <x v="0"/>
    <n v="1"/>
    <n v="0.99999999999999989"/>
    <n v="4.112031000646839"/>
    <n v="-466.51"/>
    <n v="38.20962344442539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06"/>
    <n v="144.61700000000002"/>
  </r>
  <r>
    <x v="2"/>
    <x v="0"/>
    <n v="0"/>
    <n v="1"/>
    <n v="1"/>
    <x v="0"/>
    <n v="363.00000000000006"/>
    <n v="119.31810000000002"/>
  </r>
  <r>
    <x v="2"/>
    <x v="0"/>
    <n v="1"/>
    <n v="2"/>
    <n v="1"/>
    <x v="0"/>
    <n v="363.00000000000006"/>
    <n v="119.31810000000002"/>
  </r>
  <r>
    <x v="2"/>
    <x v="0"/>
    <n v="2"/>
    <n v="3"/>
    <n v="1"/>
    <x v="1"/>
    <n v="484.00000000000011"/>
    <n v="159.07870000000003"/>
  </r>
  <r>
    <x v="3"/>
    <x v="0"/>
    <n v="0"/>
    <n v="1"/>
    <n v="1"/>
    <x v="0"/>
    <n v="399.30000000000007"/>
    <n v="131.24991000000003"/>
  </r>
  <r>
    <x v="3"/>
    <x v="0"/>
    <n v="1"/>
    <n v="2"/>
    <n v="1"/>
    <x v="0"/>
    <n v="399.30000000000007"/>
    <n v="131.24991000000003"/>
  </r>
  <r>
    <x v="3"/>
    <x v="0"/>
    <n v="2"/>
    <n v="3"/>
    <n v="1"/>
    <x v="1"/>
    <n v="532.4000000000002"/>
    <n v="174.98657000000003"/>
  </r>
  <r>
    <x v="4"/>
    <x v="0"/>
    <n v="0"/>
    <n v="1"/>
    <n v="1"/>
    <x v="0"/>
    <n v="439.23000000000013"/>
    <n v="144.37490100000005"/>
  </r>
  <r>
    <x v="4"/>
    <x v="0"/>
    <n v="1"/>
    <n v="2"/>
    <n v="1"/>
    <x v="0"/>
    <n v="439.23000000000013"/>
    <n v="144.37490100000005"/>
  </r>
  <r>
    <x v="4"/>
    <x v="0"/>
    <n v="2"/>
    <n v="3"/>
    <n v="1"/>
    <x v="1"/>
    <n v="585.64000000000033"/>
    <n v="192.48522700000004"/>
  </r>
  <r>
    <x v="5"/>
    <x v="0"/>
    <n v="0"/>
    <n v="1"/>
    <n v="1"/>
    <x v="0"/>
    <n v="483.15300000000019"/>
    <n v="158.81239110000007"/>
  </r>
  <r>
    <x v="5"/>
    <x v="0"/>
    <n v="1"/>
    <n v="2"/>
    <n v="1"/>
    <x v="0"/>
    <n v="483.15300000000019"/>
    <n v="158.81239110000007"/>
  </r>
  <r>
    <x v="5"/>
    <x v="0"/>
    <n v="2"/>
    <n v="3"/>
    <n v="1"/>
    <x v="1"/>
    <n v="644.20400000000041"/>
    <n v="211.73374970000006"/>
  </r>
  <r>
    <x v="6"/>
    <x v="0"/>
    <n v="0"/>
    <n v="1"/>
    <n v="1"/>
    <x v="0"/>
    <n v="531.46830000000023"/>
    <n v="174.69363021000009"/>
  </r>
  <r>
    <x v="6"/>
    <x v="0"/>
    <n v="1"/>
    <n v="2"/>
    <n v="1"/>
    <x v="0"/>
    <n v="531.46830000000023"/>
    <n v="174.69363021000009"/>
  </r>
  <r>
    <x v="6"/>
    <x v="0"/>
    <n v="2"/>
    <n v="3"/>
    <n v="1"/>
    <x v="1"/>
    <n v="708.62440000000049"/>
    <n v="232.90712467000009"/>
  </r>
  <r>
    <x v="7"/>
    <x v="0"/>
    <n v="0"/>
    <n v="1"/>
    <n v="1"/>
    <x v="0"/>
    <n v="584.61513000000025"/>
    <n v="192.16299323100012"/>
  </r>
  <r>
    <x v="7"/>
    <x v="0"/>
    <n v="1"/>
    <n v="2"/>
    <n v="1"/>
    <x v="0"/>
    <n v="584.61513000000025"/>
    <n v="192.16299323100012"/>
  </r>
  <r>
    <x v="7"/>
    <x v="0"/>
    <n v="2"/>
    <n v="3"/>
    <n v="1"/>
    <x v="1"/>
    <n v="779.4868400000006"/>
    <n v="256.19783713700014"/>
  </r>
  <r>
    <x v="8"/>
    <x v="0"/>
    <n v="0"/>
    <n v="1"/>
    <n v="1"/>
    <x v="0"/>
    <n v="643.07664300000033"/>
    <n v="211.37929255410015"/>
  </r>
  <r>
    <x v="8"/>
    <x v="0"/>
    <n v="1"/>
    <n v="2"/>
    <n v="1"/>
    <x v="0"/>
    <n v="643.07664300000033"/>
    <n v="211.37929255410015"/>
  </r>
  <r>
    <x v="8"/>
    <x v="0"/>
    <n v="2"/>
    <n v="3"/>
    <n v="1"/>
    <x v="1"/>
    <n v="857.43552400000078"/>
    <n v="281.81762085070017"/>
  </r>
  <r>
    <x v="9"/>
    <x v="0"/>
    <n v="0"/>
    <n v="1"/>
    <n v="1"/>
    <x v="0"/>
    <n v="707.38430730000039"/>
    <n v="232.51722180951018"/>
  </r>
  <r>
    <x v="9"/>
    <x v="0"/>
    <n v="1"/>
    <n v="2"/>
    <n v="1"/>
    <x v="0"/>
    <n v="707.38430730000039"/>
    <n v="232.51722180951018"/>
  </r>
  <r>
    <x v="9"/>
    <x v="0"/>
    <n v="2"/>
    <n v="3"/>
    <n v="1"/>
    <x v="1"/>
    <n v="943.17907640000089"/>
    <n v="309.9993829357702"/>
  </r>
  <r>
    <x v="10"/>
    <x v="0"/>
    <n v="0"/>
    <n v="1"/>
    <n v="1"/>
    <x v="0"/>
    <n v="778.12273803000051"/>
    <n v="255.76894399046122"/>
  </r>
  <r>
    <x v="10"/>
    <x v="0"/>
    <n v="1"/>
    <n v="2"/>
    <n v="1"/>
    <x v="0"/>
    <n v="778.12273803000051"/>
    <n v="255.76894399046122"/>
  </r>
  <r>
    <x v="10"/>
    <x v="0"/>
    <n v="2"/>
    <n v="3"/>
    <n v="1"/>
    <x v="1"/>
    <n v="1037.4969840400011"/>
    <n v="340.9993212293472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7666122637000969"/>
    <n v="16.961727581886191"/>
    <n v="62.685694944002243"/>
  </r>
  <r>
    <x v="0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062745849092551"/>
    <n v="9.9694584909254402"/>
    <n v="4.6940612542763492E-4"/>
  </r>
  <r>
    <x v="0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3145761521930689"/>
    <n v="0.18857615220428769"/>
    <n v="5.7164316576912254E-4"/>
  </r>
  <r>
    <x v="0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254174606009926"/>
    <n v="-0.57804399240309579"/>
    <n v="2.7251959471649522E-4"/>
  </r>
  <r>
    <x v="0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460713215354815E-2"/>
    <n v="-0.42792867846443672"/>
    <n v="7.2340501901582756E-5"/>
  </r>
  <r>
    <x v="0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716339722517489"/>
    <n v="16.48939722517456"/>
    <n v="100.17316388101121"/>
  </r>
  <r>
    <x v="1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9432734900701067"/>
    <n v="16.961727581886191"/>
    <n v="68.954264438402475"/>
  </r>
  <r>
    <x v="1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1690204340018062"/>
    <n v="9.9694584909254402"/>
    <n v="5.1634673797039843E-4"/>
  </r>
  <r>
    <x v="1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6460337674123761"/>
    <n v="0.18857615220428769"/>
    <n v="6.2880748234603486E-4"/>
  </r>
  <r>
    <x v="1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3795920666109188"/>
    <n v="-0.57804399240309579"/>
    <n v="2.9977155418814476E-4"/>
  </r>
  <r>
    <x v="1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7067845368902967E-2"/>
    <n v="-0.42792867846443672"/>
    <n v="7.9574552091741038E-5"/>
  </r>
  <r>
    <x v="1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887973694769238"/>
    <n v="16.48939722517456"/>
    <n v="110.19048026911234"/>
  </r>
  <r>
    <x v="2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1376008390771175"/>
    <n v="16.961727581886191"/>
    <n v="75.849690882242726"/>
  </r>
  <r>
    <x v="2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2859224774019868"/>
    <n v="9.9694584909254402"/>
    <n v="5.6798141176743835E-4"/>
  </r>
  <r>
    <x v="2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0106371441536137"/>
    <n v="0.18857615220428769"/>
    <n v="6.9168823058063844E-4"/>
  </r>
  <r>
    <x v="2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5175512732720109"/>
    <n v="-0.57804399240309579"/>
    <n v="3.2974870960695928E-4"/>
  </r>
  <r>
    <x v="2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9774629905793267E-2"/>
    <n v="-0.42792867846443672"/>
    <n v="8.753200730091515E-5"/>
  </r>
  <r>
    <x v="2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0767710642461621"/>
    <n v="16.48939722517456"/>
    <n v="121.20952829602359"/>
  </r>
  <r>
    <x v="3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3513609229848296"/>
    <n v="16.961727581886191"/>
    <n v="83.43465997046701"/>
  </r>
  <r>
    <x v="3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4145147251421857"/>
    <n v="9.9694584909254402"/>
    <n v="6.247795529441822E-4"/>
  </r>
  <r>
    <x v="3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4117008585689754"/>
    <n v="0.18857615220428769"/>
    <n v="7.608570536387023E-4"/>
  </r>
  <r>
    <x v="3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669306400599212"/>
    <n v="-0.57804399240309579"/>
    <n v="3.6272358056765522E-4"/>
  </r>
  <r>
    <x v="3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2752092896372598E-2"/>
    <n v="-0.42792867846443672"/>
    <n v="9.6285208031006677E-5"/>
  </r>
  <r>
    <x v="3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2844481706707787"/>
    <n v="16.48939722517456"/>
    <n v="133.33048112562597"/>
  </r>
  <r>
    <x v="4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5864970152833129"/>
    <n v="16.961727581886191"/>
    <n v="91.778125967513716"/>
  </r>
  <r>
    <x v="4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5559661976564043"/>
    <n v="9.9694584909254402"/>
    <n v="6.8725750823860044E-4"/>
  </r>
  <r>
    <x v="4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8528709444258733"/>
    <n v="0.18857615220428769"/>
    <n v="8.3694275900257262E-4"/>
  </r>
  <r>
    <x v="4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8362370406591333"/>
    <n v="-0.57804399240309579"/>
    <n v="3.9899593862442078E-4"/>
  </r>
  <r>
    <x v="4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6027302186009857E-2"/>
    <n v="-0.42792867846443672"/>
    <n v="1.0591372883410735E-4"/>
  </r>
  <r>
    <x v="4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5128929877378567"/>
    <n v="16.48939722517456"/>
    <n v="146.66352923818857"/>
  </r>
  <r>
    <x v="5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8451467168116444"/>
    <n v="16.961727581886191"/>
    <n v="100.9559385642651"/>
  </r>
  <r>
    <x v="5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711562817422045"/>
    <n v="9.9694584909254402"/>
    <n v="7.559832590624605E-4"/>
  </r>
  <r>
    <x v="5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3381580388684613"/>
    <n v="0.18857615220428769"/>
    <n v="9.2063703490282995E-4"/>
  </r>
  <r>
    <x v="5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0198607447250469"/>
    <n v="-0.57804399240309579"/>
    <n v="4.3889553248686289E-4"/>
  </r>
  <r>
    <x v="5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9630032404610847E-2"/>
    <n v="-0.42792867846443672"/>
    <n v="1.165051017175181E-4"/>
  </r>
  <r>
    <x v="5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7641822865116428"/>
    <n v="16.48939722517456"/>
    <n v="161.32988216200744"/>
  </r>
  <r>
    <x v="6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1296613884928091"/>
    <n v="16.961727581886191"/>
    <n v="111.05153242069161"/>
  </r>
  <r>
    <x v="6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8827190991642495"/>
    <n v="9.9694584909254402"/>
    <n v="8.3158158496870658E-4"/>
  </r>
  <r>
    <x v="6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8719738427553081"/>
    <n v="0.18857615220428769"/>
    <n v="1.012700738393113E-3"/>
  </r>
  <r>
    <x v="6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2218468191975518"/>
    <n v="-0.57804399240309579"/>
    <n v="4.827850857355492E-4"/>
  </r>
  <r>
    <x v="6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3593035645071936E-2"/>
    <n v="-0.42792867846443672"/>
    <n v="1.2815561188926991E-4"/>
  </r>
  <r>
    <x v="6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0406005151628075"/>
    <n v="16.48939722517456"/>
    <n v="177.46287037820821"/>
  </r>
  <r>
    <x v="7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4426275273420903"/>
    <n v="16.961727581886191"/>
    <n v="122.15668566276078"/>
  </r>
  <r>
    <x v="7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2.0709910090806747"/>
    <n v="9.9694584909254402"/>
    <n v="9.1473974346557732E-4"/>
  </r>
  <r>
    <x v="7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64591712270308399"/>
    <n v="0.18857615220428769"/>
    <n v="1.1139708122324245E-3"/>
  </r>
  <r>
    <x v="7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4440315011173072"/>
    <n v="-0.57804399240309579"/>
    <n v="5.3106359430910412E-4"/>
  </r>
  <r>
    <x v="7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7952339209579135E-2"/>
    <n v="-0.42792867846443672"/>
    <n v="1.4097117307819692E-4"/>
  </r>
  <r>
    <x v="7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3446605666790887"/>
    <n v="16.48939722517456"/>
    <n v="195.20915741602906"/>
  </r>
  <r>
    <x v="8"/>
    <x v="0"/>
    <n v="0"/>
    <x v="0"/>
    <s v="---"/>
    <n v="0"/>
    <n v="1"/>
    <n v="1"/>
    <n v="1"/>
    <n v="1.0040874246776099"/>
    <n v="100"/>
    <n v="1"/>
    <s v="---"/>
    <n v="-447.74871874997302"/>
    <n v="61.648637055047402"/>
    <n v="451.15679106285398"/>
    <n v="-28.241913926233799"/>
    <n v="3.7868902800762996"/>
    <n v="33.406723128813603"/>
    <n v="134.37235422903686"/>
  </r>
  <r>
    <x v="8"/>
    <x v="0"/>
    <n v="1"/>
    <x v="1"/>
    <s v="---"/>
    <n v="0"/>
    <n v="3"/>
    <n v="1"/>
    <n v="1"/>
    <n v="99999"/>
    <n v="100"/>
    <n v="1"/>
    <s v="---"/>
    <n v="-657.30874953325997"/>
    <n v="91.147889714713003"/>
    <n v="662.40855443650401"/>
    <n v="-40.823840682260403"/>
    <n v="2.2780901099887423"/>
    <n v="50.324049032452599"/>
    <n v="1.0062137178121352E-3"/>
  </r>
  <r>
    <x v="8"/>
    <x v="0"/>
    <n v="2"/>
    <x v="1"/>
    <s v="---"/>
    <n v="0"/>
    <n v="4"/>
    <n v="1"/>
    <n v="1"/>
    <n v="99999"/>
    <n v="100"/>
    <n v="1"/>
    <s v="---"/>
    <n v="-866.86878031654601"/>
    <n v="120.647142374379"/>
    <n v="873.66031781015499"/>
    <n v="-53.4057674382871"/>
    <n v="0.71050883497339246"/>
    <n v="67.241374936091603"/>
    <n v="1.2253678934556671E-3"/>
  </r>
  <r>
    <x v="8"/>
    <x v="0"/>
    <n v="3"/>
    <x v="1"/>
    <s v="---"/>
    <n v="1"/>
    <n v="2"/>
    <n v="1"/>
    <n v="1"/>
    <n v="99999"/>
    <n v="100"/>
    <n v="1"/>
    <s v="---"/>
    <n v="-1076.42881109983"/>
    <n v="150.14639503404399"/>
    <n v="1084.9120811838"/>
    <n v="-65.987694194313704"/>
    <n v="0.2688434651229038"/>
    <n v="84.158700839730599"/>
    <n v="5.8416995374001453E-4"/>
  </r>
  <r>
    <x v="8"/>
    <x v="0"/>
    <n v="4"/>
    <x v="1"/>
    <s v="---"/>
    <n v="2"/>
    <n v="3"/>
    <n v="1"/>
    <n v="1"/>
    <n v="99999"/>
    <n v="100"/>
    <n v="1"/>
    <s v="---"/>
    <n v="-1285.9888418831199"/>
    <n v="179.64564769371"/>
    <n v="1296.1638445574499"/>
    <n v="-78.569620950340394"/>
    <n v="5.2747573130537052E-2"/>
    <n v="101.07602674336999"/>
    <n v="1.5506829038601662E-4"/>
  </r>
  <r>
    <x v="8"/>
    <x v="0"/>
    <n v="5"/>
    <x v="1"/>
    <s v="---"/>
    <n v="3"/>
    <n v="4"/>
    <n v="1"/>
    <n v="1"/>
    <n v="0.60245245480656995"/>
    <n v="100"/>
    <n v="1"/>
    <s v="---"/>
    <n v="-1495.54887266641"/>
    <n v="209.14490035337499"/>
    <n v="1507.4156079311001"/>
    <n v="-91.151547706366998"/>
    <n v="3.6791266233469977"/>
    <n v="117.993352647009"/>
    <n v="214.73007315763198"/>
  </r>
  <r>
    <x v="9"/>
    <x v="0"/>
    <n v="0"/>
    <x v="0"/>
    <s v="---"/>
    <n v="0"/>
    <n v="1"/>
    <n v="1"/>
    <n v="1"/>
    <n v="1.0040874246776099"/>
    <n v="100"/>
    <n v="1"/>
    <s v="---"/>
    <n v="-1705.1089034496899"/>
    <n v="238.64415301304101"/>
    <n v="1718.6673713047501"/>
    <n v="-103.733474462394"/>
    <n v="4.1655793080839301"/>
    <n v="134.91067855064799"/>
    <n v="147.80958965194057"/>
  </r>
  <r>
    <x v="9"/>
    <x v="0"/>
    <n v="1"/>
    <x v="1"/>
    <s v="---"/>
    <n v="0"/>
    <n v="3"/>
    <n v="1"/>
    <n v="1"/>
    <n v="99999"/>
    <n v="100"/>
    <n v="1"/>
    <s v="---"/>
    <n v="-1914.6689342329801"/>
    <n v="268.14340567270699"/>
    <n v="1929.9191346784"/>
    <n v="-116.315401218421"/>
    <n v="2.5058991209876167"/>
    <n v="151.828004454287"/>
    <n v="1.1068350895933488E-3"/>
  </r>
  <r>
    <x v="9"/>
    <x v="0"/>
    <n v="2"/>
    <x v="1"/>
    <s v="---"/>
    <n v="0"/>
    <n v="4"/>
    <n v="1"/>
    <n v="1"/>
    <n v="99999"/>
    <n v="100"/>
    <n v="1"/>
    <s v="---"/>
    <n v="-2124.2289650162702"/>
    <n v="297.64265833237198"/>
    <n v="2141.1708980520598"/>
    <n v="-128.89732797444699"/>
    <n v="0.7815597184707318"/>
    <n v="168.74533035792601"/>
    <n v="1.347904682801234E-3"/>
  </r>
  <r>
    <x v="9"/>
    <x v="0"/>
    <n v="3"/>
    <x v="1"/>
    <s v="---"/>
    <n v="1"/>
    <n v="2"/>
    <n v="1"/>
    <n v="1"/>
    <n v="99999"/>
    <n v="100"/>
    <n v="1"/>
    <s v="---"/>
    <n v="-2333.7889957995499"/>
    <n v="327.14191099203799"/>
    <n v="2352.42266142571"/>
    <n v="-141.479254730474"/>
    <n v="0.29572781163519418"/>
    <n v="185.66265626156499"/>
    <n v="6.4258694911401601E-4"/>
  </r>
  <r>
    <x v="9"/>
    <x v="0"/>
    <n v="4"/>
    <x v="1"/>
    <s v="---"/>
    <n v="2"/>
    <n v="3"/>
    <n v="1"/>
    <n v="1"/>
    <n v="99999"/>
    <n v="100"/>
    <n v="1"/>
    <s v="---"/>
    <n v="-2543.34902658284"/>
    <n v="356.64116365170401"/>
    <n v="2563.6744247993602"/>
    <n v="-154.061181486501"/>
    <n v="5.8022330443590765E-2"/>
    <n v="202.579982165204"/>
    <n v="1.7057511942461829E-4"/>
  </r>
  <r>
    <x v="9"/>
    <x v="0"/>
    <n v="5"/>
    <x v="1"/>
    <s v="---"/>
    <n v="3"/>
    <n v="4"/>
    <n v="1"/>
    <n v="1"/>
    <n v="0.60245245480656995"/>
    <n v="100"/>
    <n v="1"/>
    <s v="---"/>
    <n v="-2752.9090573661301"/>
    <n v="386.14041631136899"/>
    <n v="2774.9261881730099"/>
    <n v="-166.64310824252701"/>
    <n v="4.0470392856816977"/>
    <n v="219.49730806884301"/>
    <n v="236.2030804733952"/>
  </r>
  <r>
    <x v="10"/>
    <x v="0"/>
    <n v="0"/>
    <x v="0"/>
    <s v="---"/>
    <n v="0"/>
    <n v="1"/>
    <n v="1"/>
    <n v="1"/>
    <n v="1.0040874246776099"/>
    <n v="100"/>
    <n v="1"/>
    <s v="---"/>
    <n v="-2962.4690881494098"/>
    <n v="415.63966897103501"/>
    <n v="2986.1779515466601"/>
    <n v="-179.22503499855401"/>
    <n v="4.5821372388923232"/>
    <n v="236.41463397248199"/>
    <n v="162.59054861713463"/>
  </r>
  <r>
    <x v="10"/>
    <x v="0"/>
    <n v="1"/>
    <x v="1"/>
    <s v="---"/>
    <n v="0"/>
    <n v="3"/>
    <n v="1"/>
    <n v="1"/>
    <n v="99999"/>
    <n v="100"/>
    <n v="1"/>
    <s v="---"/>
    <n v="-3172.0291189326999"/>
    <n v="445.13892163070102"/>
    <n v="3197.4297149203098"/>
    <n v="-191.80696175458101"/>
    <n v="2.7564890330863787"/>
    <n v="253.331959876121"/>
    <n v="1.2175185985526839E-3"/>
  </r>
  <r>
    <x v="10"/>
    <x v="0"/>
    <n v="2"/>
    <x v="1"/>
    <s v="---"/>
    <n v="0"/>
    <n v="4"/>
    <n v="1"/>
    <n v="1"/>
    <n v="99999"/>
    <n v="100"/>
    <n v="1"/>
    <s v="---"/>
    <n v="-3381.5891497159801"/>
    <n v="474.63817429036601"/>
    <n v="3408.68147829396"/>
    <n v="-204.38888851060699"/>
    <n v="0.85971569031780504"/>
    <n v="270.24928577975999"/>
    <n v="1.4826951510813575E-3"/>
  </r>
  <r>
    <x v="10"/>
    <x v="0"/>
    <n v="3"/>
    <x v="1"/>
    <s v="---"/>
    <n v="1"/>
    <n v="2"/>
    <n v="1"/>
    <n v="1"/>
    <n v="99999"/>
    <n v="100"/>
    <n v="1"/>
    <s v="---"/>
    <n v="-3591.1491804992702"/>
    <n v="504.13742695003202"/>
    <n v="3619.9332416676102"/>
    <n v="-216.97081526663399"/>
    <n v="0.32530059279871365"/>
    <n v="287.16661168339903"/>
    <n v="7.0684564402541763E-4"/>
  </r>
  <r>
    <x v="10"/>
    <x v="0"/>
    <n v="4"/>
    <x v="1"/>
    <s v="---"/>
    <n v="2"/>
    <n v="3"/>
    <n v="1"/>
    <n v="1"/>
    <n v="99999"/>
    <n v="100"/>
    <n v="1"/>
    <s v="---"/>
    <n v="-3800.7092112825599"/>
    <n v="533.63667960969804"/>
    <n v="3831.18500504126"/>
    <n v="-229.55274202266099"/>
    <n v="6.3824563487949848E-2"/>
    <n v="304.08393758703801"/>
    <n v="1.8763263136708014E-4"/>
  </r>
  <r>
    <x v="10"/>
    <x v="0"/>
    <n v="5"/>
    <x v="1"/>
    <s v="---"/>
    <n v="3"/>
    <n v="4"/>
    <n v="1"/>
    <n v="1"/>
    <n v="0.60245245480656995"/>
    <n v="100"/>
    <n v="1"/>
    <s v="---"/>
    <n v="-4010.26924206584"/>
    <n v="563.13593226936302"/>
    <n v="4042.4367684149101"/>
    <n v="-242.134668778687"/>
    <n v="4.4517432142498681"/>
    <n v="321.00126349067699"/>
    <n v="259.823388520734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8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5" hier="-1"/>
  </pageFields>
  <dataFields count="1">
    <dataField name="Sum of Active Power [MW]" fld="6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I17" firstHeaderRow="1" firstDataRow="3" firstDataCol="1" rowPageCount="1" colPageCount="2"/>
  <pivotFields count="16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4"/>
    <field x="5"/>
  </colFields>
  <colItems count="7">
    <i>
      <x/>
      <x v="1"/>
    </i>
    <i t="default">
      <x/>
    </i>
    <i>
      <x v="1"/>
      <x/>
    </i>
    <i t="default">
      <x v="1"/>
    </i>
    <i>
      <x v="2"/>
      <x v="2"/>
    </i>
    <i t="default">
      <x v="2"/>
    </i>
    <i t="grand">
      <x/>
    </i>
  </colItems>
  <pageFields count="2">
    <pageField fld="1" hier="-1"/>
    <pageField fld="6" hier="-1"/>
  </pageFields>
  <dataFields count="1">
    <dataField name="Sum of  Active Power [MW]" fld="14" baseField="0" baseItem="0"/>
  </dataFields>
  <chartFormats count="12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3" format="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1" format="13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7" format="1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7" format="1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7" format="2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3" firstHeaderRow="1" firstDataRow="1" firstDataCol="1"/>
  <pivotFields count="16">
    <pivotField showAll="0"/>
    <pivotField showAll="0">
      <items count="2">
        <item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3">
    <field x="4"/>
    <field x="5"/>
    <field x="6"/>
  </rowFields>
  <rowItems count="10">
    <i>
      <x/>
    </i>
    <i r="1">
      <x v="1"/>
    </i>
    <i r="2">
      <x/>
    </i>
    <i>
      <x v="1"/>
    </i>
    <i r="1">
      <x/>
    </i>
    <i r="2">
      <x/>
    </i>
    <i>
      <x v="2"/>
    </i>
    <i r="1">
      <x v="2"/>
    </i>
    <i r="2">
      <x v="1"/>
    </i>
    <i t="grand">
      <x/>
    </i>
  </rowItems>
  <colItems count="1">
    <i/>
  </colItems>
  <dataFields count="1">
    <dataField name="Sum of  Active Power [MW]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0" firstHeaderRow="1" firstDataRow="1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0" item="0" hier="-1"/>
    <pageField fld="2" hier="-1"/>
  </pageFields>
  <dataFields count="1">
    <dataField name="Sum of Voltage [p.u]" fld="6" baseField="1" baseItem="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6" firstHeaderRow="0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Max of Loading Percent [%]" fld="19" subtotal="max" baseField="0" baseItem="0"/>
    <dataField name="Average of Loading Percent [%]" fld="19" subtotal="average" baseField="0" baseItem="0"/>
    <dataField name="Min of Loading Percent [%]2" fld="19" subtotal="min" baseField="0" baseItem="0"/>
  </dataFields>
  <chartFormats count="15">
    <chartFormat chart="2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7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3" hier="-1"/>
  </pageFields>
  <dataFields count="1">
    <dataField name="Sum of Losses [MW]" fld="17" baseField="0" baseItem="0"/>
  </dataFields>
  <chartFormats count="1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8" firstHeaderRow="1" firstDataRow="3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8"/>
  </colFields>
  <colItems count="3">
    <i>
      <x/>
      <x/>
    </i>
    <i t="default">
      <x/>
    </i>
    <i t="grand">
      <x/>
    </i>
  </colItems>
  <pageFields count="1">
    <pageField fld="1" hier="-1"/>
  </pageFields>
  <dataFields count="1">
    <dataField name="Sum of Losses [MW]" fld="18" baseField="0" baseItem="0"/>
  </dataFields>
  <chartFormats count="1"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J19" firstHeaderRow="1" firstDataRow="4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3">
    <field x="-2"/>
    <field x="7"/>
    <field x="8"/>
  </colFields>
  <colItems count="9">
    <i>
      <x/>
      <x/>
      <x/>
    </i>
    <i t="default" r="1">
      <x/>
    </i>
    <i i="1">
      <x v="1"/>
      <x/>
      <x/>
    </i>
    <i t="default" r="1" i="1">
      <x/>
    </i>
    <i i="2">
      <x v="2"/>
      <x/>
      <x/>
    </i>
    <i t="default" r="1" i="2">
      <x/>
    </i>
    <i t="grand">
      <x/>
    </i>
    <i t="grand" i="1">
      <x/>
    </i>
    <i t="grand" i="2">
      <x/>
    </i>
  </colItems>
  <pageFields count="1">
    <pageField fld="1" hier="-1"/>
  </pageFields>
  <dataFields count="3">
    <dataField name="Max of Loading Percent [%]" fld="20" subtotal="max" baseField="0" baseItem="0"/>
    <dataField name="Average of Loading Percent [%]2" fld="20" subtotal="average" baseField="0" baseItem="3"/>
    <dataField name="Min of Loading Percent [%]3" fld="20" subtotal="min" baseField="0" baseItem="0"/>
  </dataFields>
  <chartFormats count="3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_table" displayName="demand_table" ref="C4:I5" insertRow="1" totalsRowShown="0" headerRowDxfId="1">
  <autoFilter ref="C4:I5" xr:uid="{F70524AC-4D0C-4F6F-A520-5F2E811A4CE7}"/>
  <tableColumns count="7">
    <tableColumn id="8" xr3:uid="{F2EDA2BF-F8AF-4203-B2F3-7B905739D61D}" name="step"/>
    <tableColumn id="2" xr3:uid="{B772E291-FFCF-435F-BA86-441C27B45317}" name="index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_table" displayName="generation_table" ref="C4:R5" insertRow="1" totalsRowShown="0" headerRowDxfId="0">
  <autoFilter ref="C4:R5" xr:uid="{40ACD7C8-06B8-4AD2-9918-9A9EC5FBCE6A}"/>
  <tableColumns count="16">
    <tableColumn id="16" xr3:uid="{FD185B91-B49F-4E9A-9642-5A784F589DF7}" name="Column1"/>
    <tableColumn id="1" xr3:uid="{1D308122-CF3C-45A3-A0E8-6BFFBF1E2E0A}" name="Column2"/>
    <tableColumn id="2" xr3:uid="{7F7D4208-FA89-433B-8D20-8B82046C31BF}" name="Column3"/>
    <tableColumn id="14" xr3:uid="{BFB11B01-34E2-4E2E-89F2-B4A22EF85F4E}" name="Column4"/>
    <tableColumn id="15" xr3:uid="{8AB767E0-F162-4365-88BE-6017F79A4662}" name="Column5"/>
    <tableColumn id="7" xr3:uid="{603585BA-20E7-4255-A8F3-8034E5940696}" name="Column6"/>
    <tableColumn id="3" xr3:uid="{37122E40-ED5E-4D80-93E0-256882715872}" name="Column7"/>
    <tableColumn id="4" xr3:uid="{D8956929-3F41-4D51-BE4F-2774341E552B}" name="Column8"/>
    <tableColumn id="5" xr3:uid="{A425E759-2D69-4D84-A148-E76C43AF6FA4}" name="Column9"/>
    <tableColumn id="6" xr3:uid="{6F6664F2-9163-460C-8A58-072E5EF9D107}" name="Column10"/>
    <tableColumn id="8" xr3:uid="{9F1EE02A-F9F1-4A32-8060-35B395A80221}" name="Column11"/>
    <tableColumn id="9" xr3:uid="{5D1D5079-A3F5-4BCC-AC85-2C99B8353583}" name="Column12"/>
    <tableColumn id="10" xr3:uid="{81510E49-FAD2-4E19-910E-92EA6DE45564}" name="Column13"/>
    <tableColumn id="11" xr3:uid="{1E60D8A6-4081-4E86-8EBE-BD2051C72844}" name="Column14"/>
    <tableColumn id="12" xr3:uid="{64077953-7655-4ABB-BACB-42D4F91C4E0D}" name="Column15"/>
    <tableColumn id="13" xr3:uid="{F5A115AE-0ECF-402E-B3D0-FB9AA39DD92B}" name="Column16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_table" displayName="bus_table" ref="C4:L5" insertRow="1" totalsRowShown="0">
  <autoFilter ref="C4:L5" xr:uid="{99E76C2C-375C-47C1-A9AD-8417B088B6FC}"/>
  <tableColumns count="10">
    <tableColumn id="10" xr3:uid="{4B4D838B-4D4B-4447-AA54-623C16D775A5}" name="step"/>
    <tableColumn id="1" xr3:uid="{8D5D3D19-C9FB-4B3C-9A8E-18DDDD81AA15}" name="index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_table" displayName="lines_table" ref="C4:U5" insertRow="1" totalsRowShown="0">
  <autoFilter ref="C4:U5" xr:uid="{EE8232FA-505B-4CE4-B934-04B27D52E9CB}"/>
  <tableColumns count="19">
    <tableColumn id="19" xr3:uid="{54142960-63F9-4F3B-9473-5E4553BD8277}" name="step"/>
    <tableColumn id="1" xr3:uid="{F4CA92FE-BBA3-4697-B61E-D4DD00F4DDB7}" name="index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_table" displayName="trafos_table" ref="C4:W5" insertRow="1" totalsRowShown="0">
  <autoFilter ref="C4:W5" xr:uid="{4A6D9FFD-CCDD-4F93-B041-EED5046675B6}"/>
  <tableColumns count="21">
    <tableColumn id="20" xr3:uid="{C4E1602D-7141-40CE-B787-D81D4476E1AB}" name="step"/>
    <tableColumn id="1" xr3:uid="{FB053CC0-0CFB-40BF-9A87-324F3ABE29A7}" name="index" dataDxfId="41" totalsRowDxfId="40"/>
    <tableColumn id="14" xr3:uid="{443B4109-D1B2-4010-B9ED-C161E6AFF1A8}" name="zone" dataDxfId="39" totalsRowDxfId="38"/>
    <tableColumn id="3" xr3:uid="{AED4F457-E25A-4D1D-B00F-34A4978C0F78}" name="name" dataDxfId="37" totalsRowDxfId="36"/>
    <tableColumn id="4" xr3:uid="{3C3AC128-75C3-4223-BACC-1A360EDFCDE5}" name="std_type" dataDxfId="35" totalsRowDxfId="34"/>
    <tableColumn id="5" xr3:uid="{5C767913-1D80-45C8-8C6F-7E57D189AF44}" name="hv_bus" dataDxfId="33" totalsRowDxfId="32"/>
    <tableColumn id="6" xr3:uid="{917BEB67-D7C1-4A83-96A1-F319E5A05A44}" name="lv_bus" dataDxfId="31" totalsRowDxfId="30"/>
    <tableColumn id="8" xr3:uid="{8DCB1719-ACB3-4AED-86BD-D9B68732C278}" name="vn_hv_kv" dataDxfId="29" totalsRowDxfId="28"/>
    <tableColumn id="10" xr3:uid="{62D607C6-83CF-455F-8C23-39C4B984D758}" name="vn_lv_kv" dataDxfId="27" totalsRowDxfId="26"/>
    <tableColumn id="11" xr3:uid="{D6AEC090-00BF-4CF1-ACD8-524B252EC663}" name="pfe_kw" dataDxfId="25" totalsRowDxfId="24"/>
    <tableColumn id="12" xr3:uid="{3AF3ADA4-4F57-412A-9FE8-F645C3508885}" name="shift_degree" dataDxfId="23" totalsRowDxfId="22"/>
    <tableColumn id="13" xr3:uid="{E46757C4-CE46-491E-86BE-E8A4317E6E93}" name="tap_pos" dataDxfId="21" totalsRowDxfId="20"/>
    <tableColumn id="2" xr3:uid="{C6F54DD4-2C44-4DE0-92C5-B5397E16B87A}" name="parallel" dataDxfId="19" totalsRowDxfId="18"/>
    <tableColumn id="7" xr3:uid="{60E8F0ED-D51D-42AE-B712-6D061F8D1EE0}" name="in_service" dataDxfId="17" totalsRowDxfId="16"/>
    <tableColumn id="15" xr3:uid="{3A4390BD-6B26-46A1-AE40-6398D8A806F9}" name="p_hv_mw" dataDxfId="15" totalsRowDxfId="14"/>
    <tableColumn id="16" xr3:uid="{4DD91469-F741-4D3D-948E-6556783D042C}" name="q_hv_mvar" dataDxfId="13" totalsRowDxfId="12"/>
    <tableColumn id="17" xr3:uid="{858B54E5-9CFB-4B90-84AA-07C4A8CDC8F1}" name="p_lv_mw" dataDxfId="11" totalsRowDxfId="10"/>
    <tableColumn id="18" xr3:uid="{C86231DF-FF48-47D3-A51C-74FBA23B5E0B}" name="q_lv_mvar" dataDxfId="9" totalsRowDxfId="8"/>
    <tableColumn id="23" xr3:uid="{AC6F6CA0-E489-43EB-B5EB-B1BB000C2711}" name="pl_mw" dataDxfId="7" totalsRowDxfId="6"/>
    <tableColumn id="9" xr3:uid="{0C63F6CB-B4E0-4E09-BBD7-2629F424B3EF}" name="ql_mvar" dataDxfId="5" totalsRowDxfId="4"/>
    <tableColumn id="19" xr3:uid="{2658E29B-D78D-496B-A082-3304FA22AB36}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opLeftCell="A4" workbookViewId="0">
      <selection activeCell="G20" sqref="G20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reate_dashboard">
                <anchor moveWithCells="1" sizeWithCells="1">
                  <from>
                    <xdr:col>1</xdr:col>
                    <xdr:colOff>0</xdr:colOff>
                    <xdr:row>5</xdr:row>
                    <xdr:rowOff>22860</xdr:rowOff>
                  </from>
                  <to>
                    <xdr:col>5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zoomScaleNormal="100" workbookViewId="0">
      <selection activeCell="AA55" sqref="AA55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J6"/>
  <sheetViews>
    <sheetView workbookViewId="0">
      <selection activeCell="I15" sqref="I15"/>
    </sheetView>
  </sheetViews>
  <sheetFormatPr defaultRowHeight="14.4" x14ac:dyDescent="0.3"/>
  <cols>
    <col min="2" max="2" width="12.77734375" customWidth="1"/>
    <col min="3" max="3" width="9" bestFit="1" customWidth="1"/>
    <col min="4" max="4" width="10" bestFit="1" customWidth="1"/>
    <col min="5" max="5" width="9.44140625" bestFit="1" customWidth="1"/>
    <col min="6" max="6" width="9.109375" bestFit="1" customWidth="1"/>
    <col min="7" max="7" width="13.77734375" bestFit="1" customWidth="1"/>
    <col min="8" max="8" width="12" bestFit="1" customWidth="1"/>
    <col min="9" max="9" width="14" bestFit="1" customWidth="1"/>
    <col min="10" max="10" width="15.6640625" customWidth="1"/>
  </cols>
  <sheetData>
    <row r="2" spans="2:10" ht="21" x14ac:dyDescent="0.3">
      <c r="C2" s="14" t="s">
        <v>8</v>
      </c>
      <c r="D2" s="14"/>
      <c r="E2" s="14"/>
      <c r="F2" s="14"/>
      <c r="G2" s="14"/>
      <c r="H2" s="14"/>
      <c r="I2" s="14"/>
      <c r="J2" s="14"/>
    </row>
    <row r="3" spans="2:10" ht="29.4" thickBot="1" x14ac:dyDescent="0.35">
      <c r="B3" s="12" t="s">
        <v>74</v>
      </c>
      <c r="C3" s="15" t="s">
        <v>32</v>
      </c>
      <c r="D3" s="15" t="s">
        <v>11</v>
      </c>
      <c r="E3" s="15" t="s">
        <v>0</v>
      </c>
      <c r="F3" s="15" t="s">
        <v>9</v>
      </c>
      <c r="G3" s="15" t="s">
        <v>10</v>
      </c>
      <c r="H3" s="15" t="s">
        <v>4</v>
      </c>
      <c r="I3" s="15" t="s">
        <v>5</v>
      </c>
      <c r="J3" s="1"/>
    </row>
    <row r="4" spans="2:10" ht="29.4" thickBot="1" x14ac:dyDescent="0.35">
      <c r="B4" s="12" t="s">
        <v>73</v>
      </c>
      <c r="C4" s="4" t="s">
        <v>93</v>
      </c>
      <c r="D4" s="16" t="s">
        <v>94</v>
      </c>
      <c r="E4" s="16" t="s">
        <v>95</v>
      </c>
      <c r="F4" s="16" t="s">
        <v>128</v>
      </c>
      <c r="G4" s="16" t="s">
        <v>99</v>
      </c>
      <c r="H4" s="16" t="s">
        <v>126</v>
      </c>
      <c r="I4" s="16" t="s">
        <v>127</v>
      </c>
      <c r="J4" s="1"/>
    </row>
    <row r="5" spans="2:10" x14ac:dyDescent="0.3">
      <c r="B5" s="12"/>
      <c r="C5" s="5"/>
    </row>
    <row r="6" spans="2:10" x14ac:dyDescent="0.3">
      <c r="C6" s="6"/>
    </row>
  </sheetData>
  <mergeCells count="1">
    <mergeCell ref="C2:J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topLeftCell="C1" workbookViewId="0">
      <selection activeCell="J13" sqref="J13"/>
    </sheetView>
  </sheetViews>
  <sheetFormatPr defaultRowHeight="14.4" x14ac:dyDescent="0.3"/>
  <cols>
    <col min="1" max="1" width="6" customWidth="1"/>
    <col min="2" max="2" width="11.6640625" bestFit="1" customWidth="1"/>
    <col min="4" max="4" width="10.5546875" bestFit="1" customWidth="1"/>
    <col min="5" max="5" width="10" bestFit="1" customWidth="1"/>
    <col min="6" max="7" width="10" customWidth="1"/>
    <col min="8" max="8" width="11.44140625" customWidth="1"/>
    <col min="9" max="9" width="10.88671875" bestFit="1" customWidth="1"/>
    <col min="10" max="10" width="12.44140625" bestFit="1" customWidth="1"/>
    <col min="11" max="11" width="12" bestFit="1" customWidth="1"/>
    <col min="12" max="12" width="12.44140625" bestFit="1" customWidth="1"/>
    <col min="13" max="13" width="15.33203125" customWidth="1"/>
    <col min="14" max="14" width="14.109375" customWidth="1"/>
    <col min="15" max="16" width="14.88671875" customWidth="1"/>
    <col min="17" max="17" width="13.33203125" bestFit="1" customWidth="1"/>
    <col min="18" max="18" width="13.109375" bestFit="1" customWidth="1"/>
  </cols>
  <sheetData>
    <row r="2" spans="2:18" ht="21" x14ac:dyDescent="0.3">
      <c r="C2" s="14" t="s">
        <v>46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2:18" ht="43.8" thickBot="1" x14ac:dyDescent="0.35">
      <c r="B3" s="12" t="s">
        <v>74</v>
      </c>
      <c r="C3" s="4" t="s">
        <v>33</v>
      </c>
      <c r="D3" s="7" t="s">
        <v>0</v>
      </c>
      <c r="E3" s="7" t="s">
        <v>9</v>
      </c>
      <c r="F3" s="7" t="s">
        <v>16</v>
      </c>
      <c r="G3" s="7" t="s">
        <v>30</v>
      </c>
      <c r="H3" s="7" t="s">
        <v>31</v>
      </c>
      <c r="I3" s="7" t="s">
        <v>6</v>
      </c>
      <c r="J3" s="7" t="s">
        <v>1</v>
      </c>
      <c r="K3" s="7" t="s">
        <v>2</v>
      </c>
      <c r="L3" s="7" t="s">
        <v>3</v>
      </c>
      <c r="M3" s="7" t="s">
        <v>12</v>
      </c>
      <c r="N3" s="7" t="s">
        <v>13</v>
      </c>
      <c r="O3" s="7" t="s">
        <v>15</v>
      </c>
      <c r="P3" s="7" t="s">
        <v>14</v>
      </c>
      <c r="Q3" s="7" t="s">
        <v>17</v>
      </c>
      <c r="R3" s="7" t="s">
        <v>18</v>
      </c>
    </row>
    <row r="4" spans="2:18" s="16" customFormat="1" ht="45.75" customHeight="1" x14ac:dyDescent="0.3">
      <c r="B4" s="7" t="s">
        <v>73</v>
      </c>
      <c r="C4" s="17" t="s">
        <v>75</v>
      </c>
      <c r="D4" s="16" t="s">
        <v>76</v>
      </c>
      <c r="E4" s="16" t="s">
        <v>77</v>
      </c>
      <c r="F4" s="16" t="s">
        <v>78</v>
      </c>
      <c r="G4" s="16" t="s">
        <v>79</v>
      </c>
      <c r="H4" s="16" t="s">
        <v>80</v>
      </c>
      <c r="I4" s="16" t="s">
        <v>81</v>
      </c>
      <c r="J4" s="16" t="s">
        <v>82</v>
      </c>
      <c r="K4" s="16" t="s">
        <v>83</v>
      </c>
      <c r="L4" s="16" t="s">
        <v>84</v>
      </c>
      <c r="M4" s="16" t="s">
        <v>85</v>
      </c>
      <c r="N4" s="16" t="s">
        <v>86</v>
      </c>
      <c r="O4" s="16" t="s">
        <v>87</v>
      </c>
      <c r="P4" s="16" t="s">
        <v>88</v>
      </c>
      <c r="Q4" s="16" t="s">
        <v>89</v>
      </c>
      <c r="R4" s="16" t="s">
        <v>90</v>
      </c>
    </row>
    <row r="5" spans="2:18" x14ac:dyDescent="0.3">
      <c r="B5" s="12"/>
      <c r="C5" s="5"/>
    </row>
    <row r="6" spans="2:18" x14ac:dyDescent="0.3">
      <c r="C6" s="6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L6"/>
  <sheetViews>
    <sheetView workbookViewId="0">
      <selection activeCell="H12" sqref="H12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21875" bestFit="1" customWidth="1"/>
    <col min="8" max="8" width="13.77734375" bestFit="1" customWidth="1"/>
    <col min="9" max="9" width="11.33203125" bestFit="1" customWidth="1"/>
    <col min="10" max="10" width="14.21875" bestFit="1" customWidth="1"/>
    <col min="11" max="11" width="12" bestFit="1" customWidth="1"/>
    <col min="12" max="12" width="14" bestFit="1" customWidth="1"/>
  </cols>
  <sheetData>
    <row r="1" spans="2:12" ht="15.6" customHeight="1" x14ac:dyDescent="0.3"/>
    <row r="2" spans="2:12" ht="21" x14ac:dyDescent="0.3">
      <c r="C2" s="14" t="s">
        <v>29</v>
      </c>
      <c r="D2" s="14"/>
      <c r="E2" s="14"/>
      <c r="F2" s="14"/>
      <c r="G2" s="14"/>
      <c r="H2" s="14"/>
      <c r="I2" s="14"/>
      <c r="J2" s="14"/>
      <c r="K2" s="14"/>
      <c r="L2" s="14"/>
    </row>
    <row r="3" spans="2:12" ht="29.4" thickBot="1" x14ac:dyDescent="0.35">
      <c r="B3" s="12" t="s">
        <v>74</v>
      </c>
      <c r="C3" s="15" t="s">
        <v>32</v>
      </c>
      <c r="D3" s="15" t="s">
        <v>9</v>
      </c>
      <c r="E3" s="15" t="s">
        <v>0</v>
      </c>
      <c r="F3" s="15" t="s">
        <v>1</v>
      </c>
      <c r="G3" s="15" t="s">
        <v>6</v>
      </c>
      <c r="H3" s="15" t="s">
        <v>2</v>
      </c>
      <c r="I3" s="15" t="s">
        <v>3</v>
      </c>
      <c r="J3" s="15" t="s">
        <v>7</v>
      </c>
      <c r="K3" s="15" t="s">
        <v>4</v>
      </c>
      <c r="L3" s="15" t="s">
        <v>5</v>
      </c>
    </row>
    <row r="4" spans="2:12" s="2" customFormat="1" ht="28.95" customHeight="1" x14ac:dyDescent="0.3">
      <c r="B4" s="12" t="s">
        <v>73</v>
      </c>
      <c r="C4" s="16" t="s">
        <v>93</v>
      </c>
      <c r="D4" s="16" t="s">
        <v>94</v>
      </c>
      <c r="E4" s="16" t="s">
        <v>95</v>
      </c>
      <c r="F4" s="16" t="s">
        <v>96</v>
      </c>
      <c r="G4" s="16" t="s">
        <v>123</v>
      </c>
      <c r="H4" s="16" t="s">
        <v>99</v>
      </c>
      <c r="I4" s="16" t="s">
        <v>124</v>
      </c>
      <c r="J4" s="16" t="s">
        <v>125</v>
      </c>
      <c r="K4" s="16" t="s">
        <v>126</v>
      </c>
      <c r="L4" s="16" t="s">
        <v>127</v>
      </c>
    </row>
    <row r="5" spans="2:12" x14ac:dyDescent="0.3">
      <c r="B5" s="12"/>
      <c r="C5" s="5"/>
    </row>
    <row r="6" spans="2:12" x14ac:dyDescent="0.3">
      <c r="C6" s="6"/>
    </row>
  </sheetData>
  <mergeCells count="1">
    <mergeCell ref="C2:L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6"/>
  <sheetViews>
    <sheetView workbookViewId="0">
      <selection activeCell="S11" sqref="S11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77734375" bestFit="1" customWidth="1"/>
    <col min="8" max="8" width="11.21875" bestFit="1" customWidth="1"/>
    <col min="9" max="10" width="12.77734375" bestFit="1" customWidth="1"/>
    <col min="11" max="11" width="12.44140625" bestFit="1" customWidth="1"/>
    <col min="12" max="12" width="15" bestFit="1" customWidth="1"/>
    <col min="13" max="13" width="11.5546875" bestFit="1" customWidth="1"/>
    <col min="14" max="14" width="12.77734375" bestFit="1" customWidth="1"/>
    <col min="15" max="15" width="12.6640625" bestFit="1" customWidth="1"/>
    <col min="16" max="16" width="17" bestFit="1" customWidth="1"/>
    <col min="17" max="17" width="13.44140625" bestFit="1" customWidth="1"/>
    <col min="18" max="18" width="14.6640625" bestFit="1" customWidth="1"/>
    <col min="19" max="19" width="12.21875" bestFit="1" customWidth="1"/>
    <col min="20" max="20" width="12.33203125" bestFit="1" customWidth="1"/>
    <col min="21" max="21" width="12.6640625" bestFit="1" customWidth="1"/>
  </cols>
  <sheetData>
    <row r="2" spans="2:21" ht="21" x14ac:dyDescent="0.3">
      <c r="C2" s="14" t="s">
        <v>19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2:21" ht="43.8" thickBot="1" x14ac:dyDescent="0.35">
      <c r="B3" s="12" t="s">
        <v>74</v>
      </c>
      <c r="C3" s="18" t="s">
        <v>33</v>
      </c>
      <c r="D3" s="18" t="s">
        <v>20</v>
      </c>
      <c r="E3" s="18" t="s">
        <v>0</v>
      </c>
      <c r="F3" s="18" t="s">
        <v>129</v>
      </c>
      <c r="G3" s="18" t="s">
        <v>131</v>
      </c>
      <c r="H3" s="18" t="s">
        <v>130</v>
      </c>
      <c r="I3" s="18" t="s">
        <v>2</v>
      </c>
      <c r="J3" s="18" t="s">
        <v>21</v>
      </c>
      <c r="K3" s="18" t="s">
        <v>132</v>
      </c>
      <c r="L3" s="18" t="s">
        <v>22</v>
      </c>
      <c r="M3" s="18" t="s">
        <v>23</v>
      </c>
      <c r="N3" s="18" t="s">
        <v>24</v>
      </c>
      <c r="O3" s="18" t="s">
        <v>25</v>
      </c>
      <c r="P3" s="18" t="s">
        <v>133</v>
      </c>
      <c r="Q3" s="18" t="s">
        <v>26</v>
      </c>
      <c r="R3" s="18" t="s">
        <v>27</v>
      </c>
      <c r="S3" s="18" t="s">
        <v>134</v>
      </c>
      <c r="T3" s="18" t="s">
        <v>135</v>
      </c>
      <c r="U3" s="18" t="s">
        <v>91</v>
      </c>
    </row>
    <row r="4" spans="2:21" ht="46.5" customHeight="1" x14ac:dyDescent="0.3">
      <c r="B4" s="12" t="s">
        <v>73</v>
      </c>
      <c r="C4" s="3" t="s">
        <v>93</v>
      </c>
      <c r="D4" s="3" t="s">
        <v>94</v>
      </c>
      <c r="E4" s="3" t="s">
        <v>95</v>
      </c>
      <c r="F4" s="3" t="s">
        <v>96</v>
      </c>
      <c r="G4" s="3" t="s">
        <v>97</v>
      </c>
      <c r="H4" s="3" t="s">
        <v>98</v>
      </c>
      <c r="I4" s="3" t="s">
        <v>99</v>
      </c>
      <c r="J4" s="3" t="s">
        <v>100</v>
      </c>
      <c r="K4" s="3" t="s">
        <v>101</v>
      </c>
      <c r="L4" s="3" t="s">
        <v>102</v>
      </c>
      <c r="M4" s="3" t="s">
        <v>103</v>
      </c>
      <c r="N4" s="3" t="s">
        <v>104</v>
      </c>
      <c r="O4" s="3" t="s">
        <v>105</v>
      </c>
      <c r="P4" s="3" t="s">
        <v>106</v>
      </c>
      <c r="Q4" s="3" t="s">
        <v>107</v>
      </c>
      <c r="R4" s="3" t="s">
        <v>108</v>
      </c>
      <c r="S4" s="3" t="s">
        <v>109</v>
      </c>
      <c r="T4" s="3" t="s">
        <v>110</v>
      </c>
      <c r="U4" s="3" t="s">
        <v>111</v>
      </c>
    </row>
    <row r="5" spans="2:21" x14ac:dyDescent="0.3">
      <c r="B5" s="12"/>
      <c r="C5" s="5"/>
    </row>
    <row r="6" spans="2:21" x14ac:dyDescent="0.3">
      <c r="C6" s="6"/>
    </row>
  </sheetData>
  <mergeCells count="1">
    <mergeCell ref="C2:U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W5"/>
  <sheetViews>
    <sheetView tabSelected="1" workbookViewId="0">
      <selection activeCell="N14" sqref="N14"/>
    </sheetView>
  </sheetViews>
  <sheetFormatPr defaultRowHeight="14.4" x14ac:dyDescent="0.3"/>
  <cols>
    <col min="1" max="1" width="3.77734375" customWidth="1"/>
    <col min="2" max="2" width="11.6640625" bestFit="1" customWidth="1"/>
    <col min="6" max="6" width="9" customWidth="1"/>
    <col min="11" max="11" width="11.33203125" customWidth="1"/>
    <col min="12" max="12" width="9.6640625" customWidth="1"/>
    <col min="13" max="13" width="10.6640625" customWidth="1"/>
  </cols>
  <sheetData>
    <row r="2" spans="2:23" ht="21" x14ac:dyDescent="0.3">
      <c r="C2" s="14" t="s">
        <v>28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</row>
    <row r="3" spans="2:23" ht="58.2" thickBot="1" x14ac:dyDescent="0.35">
      <c r="B3" s="12" t="s">
        <v>74</v>
      </c>
      <c r="C3" s="15" t="s">
        <v>32</v>
      </c>
      <c r="D3" s="15" t="s">
        <v>34</v>
      </c>
      <c r="E3" s="15" t="s">
        <v>0</v>
      </c>
      <c r="F3" s="15" t="s">
        <v>1</v>
      </c>
      <c r="G3" s="15" t="s">
        <v>36</v>
      </c>
      <c r="H3" s="15" t="s">
        <v>136</v>
      </c>
      <c r="I3" s="15" t="s">
        <v>137</v>
      </c>
      <c r="J3" s="15" t="s">
        <v>37</v>
      </c>
      <c r="K3" s="15" t="s">
        <v>38</v>
      </c>
      <c r="L3" s="15" t="s">
        <v>39</v>
      </c>
      <c r="M3" s="15" t="s">
        <v>40</v>
      </c>
      <c r="N3" s="15" t="s">
        <v>41</v>
      </c>
      <c r="O3" s="15" t="s">
        <v>35</v>
      </c>
      <c r="P3" s="15" t="s">
        <v>2</v>
      </c>
      <c r="Q3" s="15" t="s">
        <v>42</v>
      </c>
      <c r="R3" s="15" t="s">
        <v>43</v>
      </c>
      <c r="S3" s="15" t="s">
        <v>44</v>
      </c>
      <c r="T3" s="15" t="s">
        <v>45</v>
      </c>
      <c r="U3" s="15" t="s">
        <v>134</v>
      </c>
      <c r="V3" s="15" t="s">
        <v>138</v>
      </c>
      <c r="W3" s="15" t="s">
        <v>92</v>
      </c>
    </row>
    <row r="4" spans="2:23" ht="28.8" x14ac:dyDescent="0.3">
      <c r="B4" s="12" t="s">
        <v>73</v>
      </c>
      <c r="C4" s="5" t="s">
        <v>93</v>
      </c>
      <c r="D4" t="s">
        <v>94</v>
      </c>
      <c r="E4" t="s">
        <v>95</v>
      </c>
      <c r="F4" t="s">
        <v>96</v>
      </c>
      <c r="G4" t="s">
        <v>104</v>
      </c>
      <c r="H4" t="s">
        <v>112</v>
      </c>
      <c r="I4" t="s">
        <v>113</v>
      </c>
      <c r="J4" t="s">
        <v>114</v>
      </c>
      <c r="K4" t="s">
        <v>115</v>
      </c>
      <c r="L4" t="s">
        <v>116</v>
      </c>
      <c r="M4" t="s">
        <v>117</v>
      </c>
      <c r="N4" t="s">
        <v>118</v>
      </c>
      <c r="O4" t="s">
        <v>103</v>
      </c>
      <c r="P4" t="s">
        <v>99</v>
      </c>
      <c r="Q4" t="s">
        <v>119</v>
      </c>
      <c r="R4" t="s">
        <v>120</v>
      </c>
      <c r="S4" t="s">
        <v>121</v>
      </c>
      <c r="T4" t="s">
        <v>122</v>
      </c>
      <c r="U4" t="s">
        <v>109</v>
      </c>
      <c r="V4" t="s">
        <v>110</v>
      </c>
      <c r="W4" s="7" t="s">
        <v>111</v>
      </c>
    </row>
    <row r="5" spans="2:23" x14ac:dyDescent="0.3">
      <c r="B5" s="12"/>
      <c r="C5" s="5"/>
      <c r="W5" s="13"/>
    </row>
  </sheetData>
  <mergeCells count="1">
    <mergeCell ref="C2:W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1:B16"/>
  <sheetViews>
    <sheetView topLeftCell="A37" workbookViewId="0">
      <selection activeCell="B52" sqref="B52"/>
    </sheetView>
  </sheetViews>
  <sheetFormatPr defaultRowHeight="14.4" x14ac:dyDescent="0.3"/>
  <cols>
    <col min="1" max="1" width="17.44140625" bestFit="1" customWidth="1"/>
    <col min="2" max="2" width="25.5546875" bestFit="1" customWidth="1"/>
  </cols>
  <sheetData>
    <row r="1" spans="1:2" x14ac:dyDescent="0.3">
      <c r="A1" s="8" t="s">
        <v>0</v>
      </c>
      <c r="B1" t="s">
        <v>56</v>
      </c>
    </row>
    <row r="2" spans="1:2" x14ac:dyDescent="0.3">
      <c r="A2" s="8" t="s">
        <v>6</v>
      </c>
      <c r="B2" t="s">
        <v>56</v>
      </c>
    </row>
    <row r="4" spans="1:2" x14ac:dyDescent="0.3">
      <c r="A4" s="8" t="s">
        <v>47</v>
      </c>
      <c r="B4" t="s">
        <v>72</v>
      </c>
    </row>
    <row r="5" spans="1:2" x14ac:dyDescent="0.3">
      <c r="A5" s="9">
        <v>0</v>
      </c>
      <c r="B5">
        <v>1000</v>
      </c>
    </row>
    <row r="6" spans="1:2" x14ac:dyDescent="0.3">
      <c r="A6" s="9">
        <v>1</v>
      </c>
      <c r="B6">
        <v>1100</v>
      </c>
    </row>
    <row r="7" spans="1:2" x14ac:dyDescent="0.3">
      <c r="A7" s="9">
        <v>2</v>
      </c>
      <c r="B7">
        <v>1210.0000000000002</v>
      </c>
    </row>
    <row r="8" spans="1:2" x14ac:dyDescent="0.3">
      <c r="A8" s="9">
        <v>3</v>
      </c>
      <c r="B8">
        <v>1331.0000000000005</v>
      </c>
    </row>
    <row r="9" spans="1:2" x14ac:dyDescent="0.3">
      <c r="A9" s="9">
        <v>4</v>
      </c>
      <c r="B9">
        <v>1464.1000000000006</v>
      </c>
    </row>
    <row r="10" spans="1:2" x14ac:dyDescent="0.3">
      <c r="A10" s="9">
        <v>5</v>
      </c>
      <c r="B10">
        <v>1610.5100000000007</v>
      </c>
    </row>
    <row r="11" spans="1:2" x14ac:dyDescent="0.3">
      <c r="A11" s="9">
        <v>6</v>
      </c>
      <c r="B11">
        <v>1771.5610000000011</v>
      </c>
    </row>
    <row r="12" spans="1:2" x14ac:dyDescent="0.3">
      <c r="A12" s="9">
        <v>7</v>
      </c>
      <c r="B12">
        <v>1948.7171000000012</v>
      </c>
    </row>
    <row r="13" spans="1:2" x14ac:dyDescent="0.3">
      <c r="A13" s="9">
        <v>8</v>
      </c>
      <c r="B13">
        <v>2143.5888100000016</v>
      </c>
    </row>
    <row r="14" spans="1:2" x14ac:dyDescent="0.3">
      <c r="A14" s="9">
        <v>9</v>
      </c>
      <c r="B14">
        <v>2357.9476910000017</v>
      </c>
    </row>
    <row r="15" spans="1:2" x14ac:dyDescent="0.3">
      <c r="A15" s="9">
        <v>10</v>
      </c>
      <c r="B15">
        <v>2593.7424601000021</v>
      </c>
    </row>
    <row r="16" spans="1:2" x14ac:dyDescent="0.3">
      <c r="A16" s="9" t="s">
        <v>48</v>
      </c>
      <c r="B16">
        <v>18531.167061100008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I17"/>
  <sheetViews>
    <sheetView workbookViewId="0">
      <selection activeCell="B3" sqref="B3"/>
    </sheetView>
  </sheetViews>
  <sheetFormatPr defaultRowHeight="14.4" x14ac:dyDescent="0.3"/>
  <cols>
    <col min="2" max="2" width="26" bestFit="1" customWidth="1"/>
    <col min="3" max="3" width="16.33203125" bestFit="1" customWidth="1"/>
    <col min="4" max="4" width="12.44140625" bestFit="1" customWidth="1"/>
    <col min="5" max="5" width="17.44140625" bestFit="1" customWidth="1"/>
    <col min="6" max="6" width="12.44140625" bestFit="1" customWidth="1"/>
    <col min="7" max="7" width="13.33203125" bestFit="1" customWidth="1"/>
    <col min="8" max="9" width="12.44140625" bestFit="1" customWidth="1"/>
  </cols>
  <sheetData>
    <row r="1" spans="2:9" x14ac:dyDescent="0.3">
      <c r="B1" s="8" t="s">
        <v>0</v>
      </c>
      <c r="C1" t="s">
        <v>56</v>
      </c>
      <c r="E1" s="8" t="s">
        <v>6</v>
      </c>
      <c r="F1" t="s">
        <v>56</v>
      </c>
    </row>
    <row r="3" spans="2:9" x14ac:dyDescent="0.3">
      <c r="B3" s="8" t="s">
        <v>55</v>
      </c>
      <c r="C3" s="8" t="s">
        <v>61</v>
      </c>
    </row>
    <row r="4" spans="2:9" x14ac:dyDescent="0.3">
      <c r="C4" t="s">
        <v>49</v>
      </c>
      <c r="D4" t="s">
        <v>62</v>
      </c>
      <c r="E4" t="s">
        <v>51</v>
      </c>
      <c r="F4" t="s">
        <v>63</v>
      </c>
      <c r="G4" t="s">
        <v>53</v>
      </c>
      <c r="H4" t="s">
        <v>64</v>
      </c>
      <c r="I4" t="s">
        <v>48</v>
      </c>
    </row>
    <row r="5" spans="2:9" x14ac:dyDescent="0.3">
      <c r="B5" s="8" t="s">
        <v>47</v>
      </c>
      <c r="C5" t="s">
        <v>50</v>
      </c>
      <c r="E5" t="s">
        <v>52</v>
      </c>
      <c r="G5" t="s">
        <v>54</v>
      </c>
    </row>
    <row r="6" spans="2:9" x14ac:dyDescent="0.3">
      <c r="B6" s="9">
        <v>0</v>
      </c>
      <c r="C6">
        <v>40</v>
      </c>
      <c r="D6">
        <v>40</v>
      </c>
      <c r="E6">
        <v>323.49</v>
      </c>
      <c r="F6">
        <v>323.49</v>
      </c>
      <c r="G6">
        <v>466.51</v>
      </c>
      <c r="H6">
        <v>466.51</v>
      </c>
      <c r="I6">
        <v>830</v>
      </c>
    </row>
    <row r="7" spans="2:9" x14ac:dyDescent="0.3">
      <c r="B7" s="9">
        <v>1</v>
      </c>
      <c r="C7">
        <v>44</v>
      </c>
      <c r="D7">
        <v>44</v>
      </c>
      <c r="E7">
        <v>355.83900000000006</v>
      </c>
      <c r="F7">
        <v>355.83900000000006</v>
      </c>
      <c r="G7">
        <v>513.16100000000006</v>
      </c>
      <c r="H7">
        <v>513.16100000000006</v>
      </c>
      <c r="I7">
        <v>913.00000000000011</v>
      </c>
    </row>
    <row r="8" spans="2:9" x14ac:dyDescent="0.3">
      <c r="B8" s="9">
        <v>2</v>
      </c>
      <c r="C8">
        <v>48.400000000000006</v>
      </c>
      <c r="D8">
        <v>48.400000000000006</v>
      </c>
      <c r="E8">
        <v>391.42290000000008</v>
      </c>
      <c r="F8">
        <v>391.42290000000008</v>
      </c>
      <c r="G8">
        <v>564.47710000000006</v>
      </c>
      <c r="H8">
        <v>564.47710000000006</v>
      </c>
      <c r="I8">
        <v>1004.3000000000002</v>
      </c>
    </row>
    <row r="9" spans="2:9" x14ac:dyDescent="0.3">
      <c r="B9" s="9">
        <v>3</v>
      </c>
      <c r="C9">
        <v>53.240000000000009</v>
      </c>
      <c r="D9">
        <v>53.240000000000009</v>
      </c>
      <c r="E9">
        <v>430.56519000000014</v>
      </c>
      <c r="F9">
        <v>430.56519000000014</v>
      </c>
      <c r="G9">
        <v>620.92481000000009</v>
      </c>
      <c r="H9">
        <v>620.92481000000009</v>
      </c>
      <c r="I9">
        <v>1104.7300000000002</v>
      </c>
    </row>
    <row r="10" spans="2:9" x14ac:dyDescent="0.3">
      <c r="B10" s="9">
        <v>4</v>
      </c>
      <c r="C10">
        <v>58.564000000000014</v>
      </c>
      <c r="D10">
        <v>58.564000000000014</v>
      </c>
      <c r="E10">
        <v>473.62170900000018</v>
      </c>
      <c r="F10">
        <v>473.62170900000018</v>
      </c>
      <c r="G10">
        <v>683.01729100000011</v>
      </c>
      <c r="H10">
        <v>683.01729100000011</v>
      </c>
      <c r="I10">
        <v>1215.2030000000004</v>
      </c>
    </row>
    <row r="11" spans="2:9" x14ac:dyDescent="0.3">
      <c r="B11" s="9">
        <v>5</v>
      </c>
      <c r="C11">
        <v>64.420400000000015</v>
      </c>
      <c r="D11">
        <v>64.420400000000015</v>
      </c>
      <c r="E11">
        <v>520.98387990000026</v>
      </c>
      <c r="F11">
        <v>520.98387990000026</v>
      </c>
      <c r="G11">
        <v>751.31902010000022</v>
      </c>
      <c r="H11">
        <v>751.31902010000022</v>
      </c>
      <c r="I11">
        <v>1336.7233000000006</v>
      </c>
    </row>
    <row r="12" spans="2:9" x14ac:dyDescent="0.3">
      <c r="B12" s="9">
        <v>6</v>
      </c>
      <c r="C12">
        <v>70.862440000000021</v>
      </c>
      <c r="D12">
        <v>70.862440000000021</v>
      </c>
      <c r="E12">
        <v>573.08226789000037</v>
      </c>
      <c r="F12">
        <v>573.08226789000037</v>
      </c>
      <c r="G12">
        <v>826.45092211000031</v>
      </c>
      <c r="H12">
        <v>826.45092211000031</v>
      </c>
      <c r="I12">
        <v>1470.3956300000007</v>
      </c>
    </row>
    <row r="13" spans="2:9" x14ac:dyDescent="0.3">
      <c r="B13" s="9">
        <v>7</v>
      </c>
      <c r="C13">
        <v>77.948684000000029</v>
      </c>
      <c r="D13">
        <v>77.948684000000029</v>
      </c>
      <c r="E13">
        <v>630.39049467900043</v>
      </c>
      <c r="F13">
        <v>630.39049467900043</v>
      </c>
      <c r="G13">
        <v>909.09601432100044</v>
      </c>
      <c r="H13">
        <v>909.09601432100044</v>
      </c>
      <c r="I13">
        <v>1617.4351930000009</v>
      </c>
    </row>
    <row r="14" spans="2:9" x14ac:dyDescent="0.3">
      <c r="B14" s="9">
        <v>8</v>
      </c>
      <c r="C14">
        <v>85.743552400000041</v>
      </c>
      <c r="D14">
        <v>85.743552400000041</v>
      </c>
      <c r="E14">
        <v>693.42954414690053</v>
      </c>
      <c r="F14">
        <v>693.42954414690053</v>
      </c>
      <c r="G14">
        <v>1000.0056157531005</v>
      </c>
      <c r="H14">
        <v>1000.0056157531005</v>
      </c>
      <c r="I14">
        <v>1779.1787123000011</v>
      </c>
    </row>
    <row r="15" spans="2:9" x14ac:dyDescent="0.3">
      <c r="B15" s="9">
        <v>9</v>
      </c>
      <c r="C15">
        <v>94.317907640000058</v>
      </c>
      <c r="D15">
        <v>94.317907640000058</v>
      </c>
      <c r="E15">
        <v>762.77249856159062</v>
      </c>
      <c r="F15">
        <v>762.77249856159062</v>
      </c>
      <c r="G15">
        <v>1100.0061773284106</v>
      </c>
      <c r="H15">
        <v>1100.0061773284106</v>
      </c>
      <c r="I15">
        <v>1957.0965835300012</v>
      </c>
    </row>
    <row r="16" spans="2:9" x14ac:dyDescent="0.3">
      <c r="B16" s="9">
        <v>10</v>
      </c>
      <c r="C16">
        <v>103.74969840400007</v>
      </c>
      <c r="D16">
        <v>103.74969840400007</v>
      </c>
      <c r="E16">
        <v>839.0497484177497</v>
      </c>
      <c r="F16">
        <v>839.0497484177497</v>
      </c>
      <c r="G16">
        <v>1210.0067950612518</v>
      </c>
      <c r="H16">
        <v>1210.0067950612518</v>
      </c>
      <c r="I16">
        <v>2152.8062418830013</v>
      </c>
    </row>
    <row r="17" spans="2:9" x14ac:dyDescent="0.3">
      <c r="B17" s="9" t="s">
        <v>48</v>
      </c>
      <c r="C17">
        <v>741.24668244400027</v>
      </c>
      <c r="D17">
        <v>741.24668244400027</v>
      </c>
      <c r="E17">
        <v>5994.6472325952418</v>
      </c>
      <c r="F17">
        <v>5994.6472325952418</v>
      </c>
      <c r="G17">
        <v>8644.9747456737641</v>
      </c>
      <c r="H17">
        <v>8644.9747456737641</v>
      </c>
      <c r="I17">
        <v>15380.868660713008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3:B13"/>
  <sheetViews>
    <sheetView workbookViewId="0"/>
  </sheetViews>
  <sheetFormatPr defaultRowHeight="14.4" x14ac:dyDescent="0.3"/>
  <cols>
    <col min="1" max="1" width="17.6640625" bestFit="1" customWidth="1"/>
    <col min="2" max="2" width="26" bestFit="1" customWidth="1"/>
    <col min="3" max="3" width="24.109375" bestFit="1" customWidth="1"/>
    <col min="4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3" spans="1:2" x14ac:dyDescent="0.3">
      <c r="A3" s="8" t="s">
        <v>47</v>
      </c>
      <c r="B3" t="s">
        <v>55</v>
      </c>
    </row>
    <row r="4" spans="1:2" x14ac:dyDescent="0.3">
      <c r="A4" s="9" t="s">
        <v>49</v>
      </c>
      <c r="B4">
        <v>741.24668244400027</v>
      </c>
    </row>
    <row r="5" spans="1:2" x14ac:dyDescent="0.3">
      <c r="A5" s="10" t="s">
        <v>50</v>
      </c>
      <c r="B5">
        <v>741.24668244400027</v>
      </c>
    </row>
    <row r="6" spans="1:2" x14ac:dyDescent="0.3">
      <c r="A6" s="11">
        <v>230</v>
      </c>
      <c r="B6">
        <v>741.24668244400027</v>
      </c>
    </row>
    <row r="7" spans="1:2" x14ac:dyDescent="0.3">
      <c r="A7" s="9" t="s">
        <v>51</v>
      </c>
      <c r="B7">
        <v>5994.6472325952418</v>
      </c>
    </row>
    <row r="8" spans="1:2" x14ac:dyDescent="0.3">
      <c r="A8" s="10" t="s">
        <v>52</v>
      </c>
      <c r="B8">
        <v>5994.6472325952418</v>
      </c>
    </row>
    <row r="9" spans="1:2" x14ac:dyDescent="0.3">
      <c r="A9" s="11">
        <v>230</v>
      </c>
      <c r="B9">
        <v>5994.6472325952418</v>
      </c>
    </row>
    <row r="10" spans="1:2" x14ac:dyDescent="0.3">
      <c r="A10" s="9" t="s">
        <v>53</v>
      </c>
      <c r="B10">
        <v>8644.9747456737641</v>
      </c>
    </row>
    <row r="11" spans="1:2" x14ac:dyDescent="0.3">
      <c r="A11" s="10" t="s">
        <v>54</v>
      </c>
      <c r="B11">
        <v>8644.9747456737641</v>
      </c>
    </row>
    <row r="12" spans="1:2" x14ac:dyDescent="0.3">
      <c r="A12" s="11">
        <v>110</v>
      </c>
      <c r="B12">
        <v>8644.9747456737641</v>
      </c>
    </row>
    <row r="13" spans="1:2" x14ac:dyDescent="0.3">
      <c r="A13" s="9" t="s">
        <v>48</v>
      </c>
      <c r="B13">
        <v>15380.868660713006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0"/>
  <sheetViews>
    <sheetView topLeftCell="U17" workbookViewId="0">
      <selection activeCell="AF32" sqref="AF32"/>
    </sheetView>
  </sheetViews>
  <sheetFormatPr defaultRowHeight="14.4" x14ac:dyDescent="0.3"/>
  <cols>
    <col min="1" max="1" width="13.109375" bestFit="1" customWidth="1"/>
    <col min="2" max="2" width="19.44140625" bestFit="1" customWidth="1"/>
  </cols>
  <sheetData>
    <row r="1" spans="1:2" x14ac:dyDescent="0.3">
      <c r="A1" s="8" t="s">
        <v>33</v>
      </c>
      <c r="B1" s="9">
        <v>0</v>
      </c>
    </row>
    <row r="2" spans="1:2" x14ac:dyDescent="0.3">
      <c r="A2" s="8" t="s">
        <v>0</v>
      </c>
      <c r="B2" t="s">
        <v>56</v>
      </c>
    </row>
    <row r="4" spans="1:2" x14ac:dyDescent="0.3">
      <c r="A4" s="8" t="s">
        <v>47</v>
      </c>
      <c r="B4" t="s">
        <v>71</v>
      </c>
    </row>
    <row r="5" spans="1:2" x14ac:dyDescent="0.3">
      <c r="A5" s="9">
        <v>0</v>
      </c>
      <c r="B5">
        <v>0.99999999999999989</v>
      </c>
    </row>
    <row r="6" spans="1:2" x14ac:dyDescent="0.3">
      <c r="A6" s="9">
        <v>1</v>
      </c>
      <c r="B6">
        <v>0.98926123711798553</v>
      </c>
    </row>
    <row r="7" spans="1:2" x14ac:dyDescent="0.3">
      <c r="A7" s="9">
        <v>2</v>
      </c>
      <c r="B7">
        <v>1</v>
      </c>
    </row>
    <row r="8" spans="1:2" x14ac:dyDescent="0.3">
      <c r="A8" s="9">
        <v>3</v>
      </c>
      <c r="B8">
        <v>1</v>
      </c>
    </row>
    <row r="9" spans="1:2" x14ac:dyDescent="0.3">
      <c r="A9" s="9">
        <v>4</v>
      </c>
      <c r="B9">
        <v>0.99999999999999989</v>
      </c>
    </row>
    <row r="10" spans="1:2" x14ac:dyDescent="0.3">
      <c r="A10" s="9" t="s">
        <v>48</v>
      </c>
      <c r="B10">
        <v>4.9892612371179856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16"/>
  <sheetViews>
    <sheetView workbookViewId="0"/>
  </sheetViews>
  <sheetFormatPr defaultRowHeight="14.4" x14ac:dyDescent="0.3"/>
  <cols>
    <col min="1" max="1" width="17.44140625" bestFit="1" customWidth="1"/>
    <col min="2" max="2" width="25.6640625" bestFit="1" customWidth="1"/>
    <col min="3" max="3" width="29.109375" bestFit="1" customWidth="1"/>
    <col min="4" max="4" width="26.44140625" bestFit="1" customWidth="1"/>
    <col min="5" max="5" width="25.6640625" bestFit="1" customWidth="1"/>
    <col min="6" max="6" width="29.109375" bestFit="1" customWidth="1"/>
    <col min="7" max="7" width="26.44140625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1" spans="1:4" x14ac:dyDescent="0.3">
      <c r="A1" s="8" t="s">
        <v>0</v>
      </c>
      <c r="B1" t="s">
        <v>56</v>
      </c>
    </row>
    <row r="2" spans="1:4" x14ac:dyDescent="0.3">
      <c r="A2" s="8" t="s">
        <v>6</v>
      </c>
      <c r="B2" t="s">
        <v>56</v>
      </c>
    </row>
    <row r="4" spans="1:4" x14ac:dyDescent="0.3">
      <c r="A4" s="8" t="s">
        <v>47</v>
      </c>
      <c r="B4" t="s">
        <v>57</v>
      </c>
      <c r="C4" t="s">
        <v>58</v>
      </c>
      <c r="D4" t="s">
        <v>59</v>
      </c>
    </row>
    <row r="5" spans="1:4" x14ac:dyDescent="0.3">
      <c r="A5" s="9">
        <v>0</v>
      </c>
      <c r="B5">
        <v>100.17316388101121</v>
      </c>
      <c r="C5">
        <v>27.143374122400207</v>
      </c>
      <c r="D5">
        <v>7.2340501901582756E-5</v>
      </c>
    </row>
    <row r="6" spans="1:4" x14ac:dyDescent="0.3">
      <c r="A6" s="9">
        <v>1</v>
      </c>
      <c r="B6">
        <v>110.19048026911234</v>
      </c>
      <c r="C6">
        <v>29.857711534640231</v>
      </c>
      <c r="D6">
        <v>7.9574552091741038E-5</v>
      </c>
    </row>
    <row r="7" spans="1:4" x14ac:dyDescent="0.3">
      <c r="A7" s="9">
        <v>2</v>
      </c>
      <c r="B7">
        <v>121.20952829602359</v>
      </c>
      <c r="C7">
        <v>32.84348268810426</v>
      </c>
      <c r="D7">
        <v>8.753200730091515E-5</v>
      </c>
    </row>
    <row r="8" spans="1:4" x14ac:dyDescent="0.3">
      <c r="A8" s="9">
        <v>3</v>
      </c>
      <c r="B8">
        <v>133.33048112562597</v>
      </c>
      <c r="C8">
        <v>36.127830956914693</v>
      </c>
      <c r="D8">
        <v>9.6285208031006677E-5</v>
      </c>
    </row>
    <row r="9" spans="1:4" x14ac:dyDescent="0.3">
      <c r="A9" s="9">
        <v>4</v>
      </c>
      <c r="B9">
        <v>146.66352923818857</v>
      </c>
      <c r="C9">
        <v>39.740614052606162</v>
      </c>
      <c r="D9">
        <v>1.0591372883410735E-4</v>
      </c>
    </row>
    <row r="10" spans="1:4" x14ac:dyDescent="0.3">
      <c r="A10" s="9">
        <v>5</v>
      </c>
      <c r="B10">
        <v>161.32988216200744</v>
      </c>
      <c r="C10">
        <v>43.714675457866782</v>
      </c>
      <c r="D10">
        <v>1.165051017175181E-4</v>
      </c>
    </row>
    <row r="11" spans="1:4" x14ac:dyDescent="0.3">
      <c r="A11" s="9">
        <v>6</v>
      </c>
      <c r="B11">
        <v>177.46287037820821</v>
      </c>
      <c r="C11">
        <v>48.086143003653468</v>
      </c>
      <c r="D11">
        <v>1.2815561188926991E-4</v>
      </c>
    </row>
    <row r="12" spans="1:4" x14ac:dyDescent="0.3">
      <c r="A12" s="9">
        <v>7</v>
      </c>
      <c r="B12">
        <v>195.20915741602906</v>
      </c>
      <c r="C12">
        <v>52.894757304018817</v>
      </c>
      <c r="D12">
        <v>1.4097117307819692E-4</v>
      </c>
    </row>
    <row r="13" spans="1:4" x14ac:dyDescent="0.3">
      <c r="A13" s="9">
        <v>8</v>
      </c>
      <c r="B13">
        <v>214.73007315763198</v>
      </c>
      <c r="C13">
        <v>58.184233034420707</v>
      </c>
      <c r="D13">
        <v>1.5506829038601662E-4</v>
      </c>
    </row>
    <row r="14" spans="1:4" x14ac:dyDescent="0.3">
      <c r="A14" s="9">
        <v>9</v>
      </c>
      <c r="B14">
        <v>236.2030804733952</v>
      </c>
      <c r="C14">
        <v>64.002656337862788</v>
      </c>
      <c r="D14">
        <v>1.7057511942461829E-4</v>
      </c>
    </row>
    <row r="15" spans="1:4" x14ac:dyDescent="0.3">
      <c r="A15" s="9">
        <v>10</v>
      </c>
      <c r="B15">
        <v>259.82338852073474</v>
      </c>
      <c r="C15">
        <v>70.402921971649064</v>
      </c>
      <c r="D15">
        <v>1.8763263136708014E-4</v>
      </c>
    </row>
    <row r="16" spans="1:4" x14ac:dyDescent="0.3">
      <c r="A16" s="9" t="s">
        <v>48</v>
      </c>
      <c r="B16">
        <v>259.82338852073474</v>
      </c>
      <c r="C16">
        <v>45.72712731492156</v>
      </c>
      <c r="D16">
        <v>7.2340501901582756E-5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1:B16"/>
  <sheetViews>
    <sheetView workbookViewId="0"/>
  </sheetViews>
  <sheetFormatPr defaultRowHeight="14.4" x14ac:dyDescent="0.3"/>
  <cols>
    <col min="1" max="1" width="16.88671875" bestFit="1" customWidth="1"/>
    <col min="2" max="2" width="18.6640625" bestFit="1" customWidth="1"/>
    <col min="3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1" spans="1:2" x14ac:dyDescent="0.3">
      <c r="A1" s="8" t="s">
        <v>0</v>
      </c>
      <c r="B1" t="s">
        <v>56</v>
      </c>
    </row>
    <row r="2" spans="1:2" x14ac:dyDescent="0.3">
      <c r="A2" s="8" t="s">
        <v>6</v>
      </c>
      <c r="B2" t="s">
        <v>56</v>
      </c>
    </row>
    <row r="4" spans="1:2" x14ac:dyDescent="0.3">
      <c r="A4" s="8" t="s">
        <v>47</v>
      </c>
      <c r="B4" t="s">
        <v>60</v>
      </c>
    </row>
    <row r="5" spans="1:2" x14ac:dyDescent="0.3">
      <c r="A5" s="9">
        <v>0</v>
      </c>
      <c r="B5">
        <v>5.0271800432839848</v>
      </c>
    </row>
    <row r="6" spans="1:2" x14ac:dyDescent="0.3">
      <c r="A6" s="9">
        <v>1</v>
      </c>
      <c r="B6">
        <v>5.5298980476123836</v>
      </c>
    </row>
    <row r="7" spans="1:2" x14ac:dyDescent="0.3">
      <c r="A7" s="9">
        <v>2</v>
      </c>
      <c r="B7">
        <v>6.0828878523736218</v>
      </c>
    </row>
    <row r="8" spans="1:2" x14ac:dyDescent="0.3">
      <c r="A8" s="9">
        <v>3</v>
      </c>
      <c r="B8">
        <v>6.6911766376109849</v>
      </c>
    </row>
    <row r="9" spans="1:2" x14ac:dyDescent="0.3">
      <c r="A9" s="9">
        <v>4</v>
      </c>
      <c r="B9">
        <v>7.3602943013720843</v>
      </c>
    </row>
    <row r="10" spans="1:2" x14ac:dyDescent="0.3">
      <c r="A10" s="9">
        <v>5</v>
      </c>
      <c r="B10">
        <v>8.096323731509294</v>
      </c>
    </row>
    <row r="11" spans="1:2" x14ac:dyDescent="0.3">
      <c r="A11" s="9">
        <v>6</v>
      </c>
      <c r="B11">
        <v>8.9059561046602234</v>
      </c>
    </row>
    <row r="12" spans="1:2" x14ac:dyDescent="0.3">
      <c r="A12" s="9">
        <v>7</v>
      </c>
      <c r="B12">
        <v>9.7965517151262471</v>
      </c>
    </row>
    <row r="13" spans="1:2" x14ac:dyDescent="0.3">
      <c r="A13" s="9">
        <v>8</v>
      </c>
      <c r="B13">
        <v>10.776206886638873</v>
      </c>
    </row>
    <row r="14" spans="1:2" x14ac:dyDescent="0.3">
      <c r="A14" s="9">
        <v>9</v>
      </c>
      <c r="B14">
        <v>11.853827575302761</v>
      </c>
    </row>
    <row r="15" spans="1:2" x14ac:dyDescent="0.3">
      <c r="A15" s="9">
        <v>10</v>
      </c>
      <c r="B15">
        <v>13.039210332833038</v>
      </c>
    </row>
    <row r="16" spans="1:2" x14ac:dyDescent="0.3">
      <c r="A16" s="9" t="s">
        <v>48</v>
      </c>
      <c r="B16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D18"/>
  <sheetViews>
    <sheetView workbookViewId="0">
      <selection activeCell="A4" sqref="A4"/>
    </sheetView>
  </sheetViews>
  <sheetFormatPr defaultRowHeight="14.4" x14ac:dyDescent="0.3"/>
  <cols>
    <col min="1" max="1" width="19.33203125" bestFit="1" customWidth="1"/>
    <col min="2" max="2" width="16.33203125" bestFit="1" customWidth="1"/>
    <col min="3" max="4" width="12.44140625" bestFit="1" customWidth="1"/>
  </cols>
  <sheetData>
    <row r="2" spans="1:4" x14ac:dyDescent="0.3">
      <c r="A2" s="8" t="s">
        <v>0</v>
      </c>
      <c r="B2" t="s">
        <v>56</v>
      </c>
    </row>
    <row r="4" spans="1:4" x14ac:dyDescent="0.3">
      <c r="A4" s="8" t="s">
        <v>60</v>
      </c>
      <c r="B4" s="8" t="s">
        <v>61</v>
      </c>
    </row>
    <row r="5" spans="1:4" x14ac:dyDescent="0.3">
      <c r="B5">
        <v>10</v>
      </c>
      <c r="C5" t="s">
        <v>65</v>
      </c>
      <c r="D5" t="s">
        <v>48</v>
      </c>
    </row>
    <row r="6" spans="1:4" x14ac:dyDescent="0.3">
      <c r="A6" s="8" t="s">
        <v>47</v>
      </c>
      <c r="B6">
        <v>0.4</v>
      </c>
    </row>
    <row r="7" spans="1:4" x14ac:dyDescent="0.3">
      <c r="A7" s="9">
        <v>0</v>
      </c>
      <c r="B7">
        <v>4.2405663053085721E-3</v>
      </c>
      <c r="C7">
        <v>4.2405663053085721E-3</v>
      </c>
      <c r="D7">
        <v>4.2405663053085721E-3</v>
      </c>
    </row>
    <row r="8" spans="1:4" x14ac:dyDescent="0.3">
      <c r="A8" s="9">
        <v>1</v>
      </c>
      <c r="B8">
        <v>7.0676105088476196E-3</v>
      </c>
      <c r="C8">
        <v>7.0676105088476196E-3</v>
      </c>
      <c r="D8">
        <v>7.0676105088476196E-3</v>
      </c>
    </row>
    <row r="9" spans="1:4" x14ac:dyDescent="0.3">
      <c r="A9" s="9">
        <v>2</v>
      </c>
      <c r="B9">
        <v>7.0676105088476196E-3</v>
      </c>
      <c r="C9">
        <v>7.0676105088476196E-3</v>
      </c>
      <c r="D9">
        <v>7.0676105088476196E-3</v>
      </c>
    </row>
    <row r="10" spans="1:4" x14ac:dyDescent="0.3">
      <c r="A10" s="9">
        <v>3</v>
      </c>
      <c r="B10">
        <v>8.4811326106171443E-3</v>
      </c>
      <c r="C10">
        <v>8.4811326106171443E-3</v>
      </c>
      <c r="D10">
        <v>8.4811326106171443E-3</v>
      </c>
    </row>
    <row r="11" spans="1:4" x14ac:dyDescent="0.3">
      <c r="A11" s="9">
        <v>4</v>
      </c>
      <c r="B11">
        <v>1.0177359132740572E-2</v>
      </c>
      <c r="C11">
        <v>1.0177359132740572E-2</v>
      </c>
      <c r="D11">
        <v>1.0177359132740572E-2</v>
      </c>
    </row>
    <row r="12" spans="1:4" x14ac:dyDescent="0.3">
      <c r="A12" s="9">
        <v>5</v>
      </c>
      <c r="B12">
        <v>1.2212830959288684E-2</v>
      </c>
      <c r="C12">
        <v>1.2212830959288684E-2</v>
      </c>
      <c r="D12">
        <v>1.2212830959288684E-2</v>
      </c>
    </row>
    <row r="13" spans="1:4" x14ac:dyDescent="0.3">
      <c r="A13" s="9">
        <v>6</v>
      </c>
      <c r="B13">
        <v>1.4655397151146421E-2</v>
      </c>
      <c r="C13">
        <v>1.4655397151146421E-2</v>
      </c>
      <c r="D13">
        <v>1.4655397151146421E-2</v>
      </c>
    </row>
    <row r="14" spans="1:4" x14ac:dyDescent="0.3">
      <c r="A14" s="9">
        <v>7</v>
      </c>
      <c r="B14">
        <v>1.7586476581375705E-2</v>
      </c>
      <c r="C14">
        <v>1.7586476581375705E-2</v>
      </c>
      <c r="D14">
        <v>1.7586476581375705E-2</v>
      </c>
    </row>
    <row r="15" spans="1:4" x14ac:dyDescent="0.3">
      <c r="A15" s="9">
        <v>8</v>
      </c>
      <c r="B15">
        <v>2.1103771897650843E-2</v>
      </c>
      <c r="C15">
        <v>2.1103771897650843E-2</v>
      </c>
      <c r="D15">
        <v>2.1103771897650843E-2</v>
      </c>
    </row>
    <row r="16" spans="1:4" x14ac:dyDescent="0.3">
      <c r="A16" s="9">
        <v>9</v>
      </c>
      <c r="B16">
        <v>2.5324526277181011E-2</v>
      </c>
      <c r="C16">
        <v>2.5324526277181011E-2</v>
      </c>
      <c r="D16">
        <v>2.5324526277181011E-2</v>
      </c>
    </row>
    <row r="17" spans="1:4" x14ac:dyDescent="0.3">
      <c r="A17" s="9">
        <v>10</v>
      </c>
      <c r="B17">
        <v>3.0389431532617212E-2</v>
      </c>
      <c r="C17">
        <v>3.0389431532617212E-2</v>
      </c>
      <c r="D17">
        <v>3.0389431532617212E-2</v>
      </c>
    </row>
    <row r="18" spans="1:4" x14ac:dyDescent="0.3">
      <c r="A18" s="9" t="s">
        <v>48</v>
      </c>
      <c r="B18">
        <v>0.15830671346562142</v>
      </c>
      <c r="C18">
        <v>0.15830671346562142</v>
      </c>
      <c r="D18">
        <v>0.15830671346562142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J19"/>
  <sheetViews>
    <sheetView workbookViewId="0">
      <selection activeCell="I29" sqref="I29"/>
    </sheetView>
  </sheetViews>
  <sheetFormatPr defaultRowHeight="14.4" x14ac:dyDescent="0.3"/>
  <cols>
    <col min="1" max="1" width="13.109375" bestFit="1" customWidth="1"/>
    <col min="2" max="2" width="25.6640625" bestFit="1" customWidth="1"/>
    <col min="3" max="3" width="12" bestFit="1" customWidth="1"/>
    <col min="4" max="4" width="30.33203125" bestFit="1" customWidth="1"/>
    <col min="5" max="5" width="12" bestFit="1" customWidth="1"/>
    <col min="6" max="6" width="26.44140625" bestFit="1" customWidth="1"/>
    <col min="7" max="7" width="12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2" spans="1:10" x14ac:dyDescent="0.3">
      <c r="A2" s="8" t="s">
        <v>0</v>
      </c>
      <c r="B2" t="s">
        <v>56</v>
      </c>
    </row>
    <row r="4" spans="1:10" x14ac:dyDescent="0.3">
      <c r="B4" s="8" t="s">
        <v>61</v>
      </c>
    </row>
    <row r="5" spans="1:10" x14ac:dyDescent="0.3">
      <c r="B5" t="s">
        <v>57</v>
      </c>
      <c r="D5" t="s">
        <v>69</v>
      </c>
      <c r="F5" t="s">
        <v>66</v>
      </c>
      <c r="H5" t="s">
        <v>67</v>
      </c>
      <c r="I5" t="s">
        <v>70</v>
      </c>
      <c r="J5" t="s">
        <v>68</v>
      </c>
    </row>
    <row r="6" spans="1:10" x14ac:dyDescent="0.3">
      <c r="B6">
        <v>10</v>
      </c>
      <c r="C6" t="s">
        <v>65</v>
      </c>
      <c r="D6">
        <v>10</v>
      </c>
      <c r="E6" t="s">
        <v>65</v>
      </c>
      <c r="F6">
        <v>10</v>
      </c>
      <c r="G6" t="s">
        <v>65</v>
      </c>
    </row>
    <row r="7" spans="1:10" x14ac:dyDescent="0.3">
      <c r="A7" s="8" t="s">
        <v>47</v>
      </c>
      <c r="B7">
        <v>0.4</v>
      </c>
      <c r="D7">
        <v>0.4</v>
      </c>
      <c r="F7">
        <v>0.4</v>
      </c>
    </row>
    <row r="8" spans="1:10" x14ac:dyDescent="0.3">
      <c r="A8" s="9">
        <v>0</v>
      </c>
      <c r="B8">
        <v>52.425638328073241</v>
      </c>
      <c r="C8">
        <v>52.425638328073241</v>
      </c>
      <c r="D8">
        <v>52.425638328073241</v>
      </c>
      <c r="E8">
        <v>52.425638328073241</v>
      </c>
      <c r="F8">
        <v>52.425638328073241</v>
      </c>
      <c r="G8">
        <v>52.425638328073241</v>
      </c>
      <c r="H8">
        <v>52.425638328073241</v>
      </c>
      <c r="I8">
        <v>52.425638328073241</v>
      </c>
      <c r="J8">
        <v>52.425638328073241</v>
      </c>
    </row>
    <row r="9" spans="1:10" x14ac:dyDescent="0.3">
      <c r="A9" s="9">
        <v>1</v>
      </c>
      <c r="B9">
        <v>52.425638328073241</v>
      </c>
      <c r="C9">
        <v>52.425638328073241</v>
      </c>
      <c r="D9">
        <v>52.425638328073241</v>
      </c>
      <c r="E9">
        <v>52.425638328073241</v>
      </c>
      <c r="F9">
        <v>52.425638328073241</v>
      </c>
      <c r="G9">
        <v>52.425638328073241</v>
      </c>
      <c r="H9">
        <v>52.425638328073241</v>
      </c>
      <c r="I9">
        <v>52.425638328073241</v>
      </c>
      <c r="J9">
        <v>52.425638328073241</v>
      </c>
    </row>
    <row r="10" spans="1:10" x14ac:dyDescent="0.3">
      <c r="A10" s="9">
        <v>2</v>
      </c>
      <c r="B10">
        <v>52.425638328073241</v>
      </c>
      <c r="C10">
        <v>52.425638328073241</v>
      </c>
      <c r="D10">
        <v>52.425638328073241</v>
      </c>
      <c r="E10">
        <v>52.425638328073241</v>
      </c>
      <c r="F10">
        <v>52.425638328073241</v>
      </c>
      <c r="G10">
        <v>52.425638328073241</v>
      </c>
      <c r="H10">
        <v>52.425638328073241</v>
      </c>
      <c r="I10">
        <v>52.425638328073241</v>
      </c>
      <c r="J10">
        <v>52.425638328073241</v>
      </c>
    </row>
    <row r="11" spans="1:10" x14ac:dyDescent="0.3">
      <c r="A11" s="9">
        <v>3</v>
      </c>
      <c r="B11">
        <v>56.425638328073198</v>
      </c>
      <c r="C11">
        <v>56.425638328073198</v>
      </c>
      <c r="D11">
        <v>54.425638328073205</v>
      </c>
      <c r="E11">
        <v>54.425638328073205</v>
      </c>
      <c r="F11">
        <v>52.425638328073241</v>
      </c>
      <c r="G11">
        <v>52.425638328073241</v>
      </c>
      <c r="H11">
        <v>56.425638328073198</v>
      </c>
      <c r="I11">
        <v>54.425638328073205</v>
      </c>
      <c r="J11">
        <v>52.425638328073241</v>
      </c>
    </row>
    <row r="12" spans="1:10" x14ac:dyDescent="0.3">
      <c r="A12" s="9">
        <v>4</v>
      </c>
      <c r="B12">
        <v>61.425638328073198</v>
      </c>
      <c r="C12">
        <v>61.425638328073198</v>
      </c>
      <c r="D12">
        <v>59.425638328073191</v>
      </c>
      <c r="E12">
        <v>59.425638328073191</v>
      </c>
      <c r="F12">
        <v>57.425638328073198</v>
      </c>
      <c r="G12">
        <v>57.425638328073198</v>
      </c>
      <c r="H12">
        <v>61.425638328073198</v>
      </c>
      <c r="I12">
        <v>59.425638328073191</v>
      </c>
      <c r="J12">
        <v>57.425638328073198</v>
      </c>
    </row>
    <row r="13" spans="1:10" x14ac:dyDescent="0.3">
      <c r="A13" s="9">
        <v>5</v>
      </c>
      <c r="B13">
        <v>66.425638328073205</v>
      </c>
      <c r="C13">
        <v>66.425638328073205</v>
      </c>
      <c r="D13">
        <v>64.425638328073205</v>
      </c>
      <c r="E13">
        <v>64.425638328073205</v>
      </c>
      <c r="F13">
        <v>62.425638328073198</v>
      </c>
      <c r="G13">
        <v>62.425638328073198</v>
      </c>
      <c r="H13">
        <v>66.425638328073205</v>
      </c>
      <c r="I13">
        <v>64.425638328073205</v>
      </c>
      <c r="J13">
        <v>62.425638328073198</v>
      </c>
    </row>
    <row r="14" spans="1:10" x14ac:dyDescent="0.3">
      <c r="A14" s="9">
        <v>6</v>
      </c>
      <c r="B14">
        <v>71.425638328073205</v>
      </c>
      <c r="C14">
        <v>71.425638328073205</v>
      </c>
      <c r="D14">
        <v>69.425638328073205</v>
      </c>
      <c r="E14">
        <v>69.425638328073205</v>
      </c>
      <c r="F14">
        <v>67.425638328073205</v>
      </c>
      <c r="G14">
        <v>67.425638328073205</v>
      </c>
      <c r="H14">
        <v>71.425638328073205</v>
      </c>
      <c r="I14">
        <v>69.425638328073205</v>
      </c>
      <c r="J14">
        <v>67.425638328073205</v>
      </c>
    </row>
    <row r="15" spans="1:10" x14ac:dyDescent="0.3">
      <c r="A15" s="9">
        <v>7</v>
      </c>
      <c r="B15">
        <v>76.425638328073205</v>
      </c>
      <c r="C15">
        <v>76.425638328073205</v>
      </c>
      <c r="D15">
        <v>74.425638328073205</v>
      </c>
      <c r="E15">
        <v>74.425638328073205</v>
      </c>
      <c r="F15">
        <v>72.425638328073205</v>
      </c>
      <c r="G15">
        <v>72.425638328073205</v>
      </c>
      <c r="H15">
        <v>76.425638328073205</v>
      </c>
      <c r="I15">
        <v>74.425638328073205</v>
      </c>
      <c r="J15">
        <v>72.425638328073205</v>
      </c>
    </row>
    <row r="16" spans="1:10" x14ac:dyDescent="0.3">
      <c r="A16" s="9">
        <v>8</v>
      </c>
      <c r="B16">
        <v>81.425638328073205</v>
      </c>
      <c r="C16">
        <v>81.425638328073205</v>
      </c>
      <c r="D16">
        <v>79.425638328073205</v>
      </c>
      <c r="E16">
        <v>79.425638328073205</v>
      </c>
      <c r="F16">
        <v>77.425638328073205</v>
      </c>
      <c r="G16">
        <v>77.425638328073205</v>
      </c>
      <c r="H16">
        <v>81.425638328073205</v>
      </c>
      <c r="I16">
        <v>79.425638328073205</v>
      </c>
      <c r="J16">
        <v>77.425638328073205</v>
      </c>
    </row>
    <row r="17" spans="1:10" x14ac:dyDescent="0.3">
      <c r="A17" s="9">
        <v>9</v>
      </c>
      <c r="B17">
        <v>86.425638328073205</v>
      </c>
      <c r="C17">
        <v>86.425638328073205</v>
      </c>
      <c r="D17">
        <v>84.425638328073205</v>
      </c>
      <c r="E17">
        <v>84.425638328073205</v>
      </c>
      <c r="F17">
        <v>82.425638328073205</v>
      </c>
      <c r="G17">
        <v>82.425638328073205</v>
      </c>
      <c r="H17">
        <v>86.425638328073205</v>
      </c>
      <c r="I17">
        <v>84.425638328073205</v>
      </c>
      <c r="J17">
        <v>82.425638328073205</v>
      </c>
    </row>
    <row r="18" spans="1:10" x14ac:dyDescent="0.3">
      <c r="A18" s="9">
        <v>10</v>
      </c>
      <c r="B18">
        <v>91.425638328073205</v>
      </c>
      <c r="C18">
        <v>91.425638328073205</v>
      </c>
      <c r="D18">
        <v>89.425638328073205</v>
      </c>
      <c r="E18">
        <v>89.425638328073205</v>
      </c>
      <c r="F18">
        <v>87.425638328073205</v>
      </c>
      <c r="G18">
        <v>87.425638328073205</v>
      </c>
      <c r="H18">
        <v>91.425638328073205</v>
      </c>
      <c r="I18">
        <v>89.425638328073205</v>
      </c>
      <c r="J18">
        <v>87.425638328073205</v>
      </c>
    </row>
    <row r="19" spans="1:10" x14ac:dyDescent="0.3">
      <c r="A19" s="9" t="s">
        <v>48</v>
      </c>
      <c r="B19">
        <v>91.425638328073205</v>
      </c>
      <c r="C19">
        <v>91.425638328073205</v>
      </c>
      <c r="D19">
        <v>67.142619460148609</v>
      </c>
      <c r="E19">
        <v>67.14261946014868</v>
      </c>
      <c r="F19">
        <v>52.425638328073241</v>
      </c>
      <c r="G19">
        <v>52.425638328073241</v>
      </c>
      <c r="H19">
        <v>91.425638328073205</v>
      </c>
      <c r="I19">
        <v>67.14261946014868</v>
      </c>
      <c r="J19">
        <v>52.425638328073241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2023-01-06T13:11:07Z</dcterms:modified>
</cp:coreProperties>
</file>