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arti\Documents\propens-pandapower\src\analysis\output_templates\"/>
    </mc:Choice>
  </mc:AlternateContent>
  <xr:revisionPtr revIDLastSave="0" documentId="13_ncr:1_{4C155E5D-843E-4CD1-94C9-481A15CEC7A1}" xr6:coauthVersionLast="47" xr6:coauthVersionMax="47" xr10:uidLastSave="{00000000-0000-0000-0000-000000000000}"/>
  <bookViews>
    <workbookView xWindow="-120" yWindow="-120" windowWidth="38640" windowHeight="21120" tabRatio="799" activeTab="6" xr2:uid="{99A6308F-9893-48E9-8687-2814B55273BF}"/>
  </bookViews>
  <sheets>
    <sheet name="Summary" sheetId="6" r:id="rId1"/>
    <sheet name="Dashboard" sheetId="7" r:id="rId2"/>
    <sheet name="Demand" sheetId="4" r:id="rId3"/>
    <sheet name="Generation" sheetId="5" r:id="rId4"/>
    <sheet name="Buses" sheetId="1" r:id="rId5"/>
    <sheet name="Lines" sheetId="2" r:id="rId6"/>
    <sheet name="Trafos" sheetId="3" r:id="rId7"/>
    <sheet name="Demand01" sheetId="16" state="hidden" r:id="rId8"/>
    <sheet name="Gen01" sheetId="9" state="hidden" r:id="rId9"/>
    <sheet name="Gen02" sheetId="10" state="hidden" r:id="rId10"/>
    <sheet name="bus01" sheetId="15" state="hidden" r:id="rId11"/>
    <sheet name="Lines01" sheetId="11" state="hidden" r:id="rId12"/>
    <sheet name="Lines02" sheetId="12" state="hidden" r:id="rId13"/>
    <sheet name="Trafos01" sheetId="14" state="hidden" r:id="rId14"/>
    <sheet name="Trafos02" sheetId="13" state="hidden" r:id="rId15"/>
  </sheets>
  <definedNames>
    <definedName name="_xlnm._FilterDatabase" localSheetId="4" hidden="1">Buses!$D$4:$L$4</definedName>
  </definedNames>
  <calcPr calcId="191029"/>
  <pivotCaches>
    <pivotCache cacheId="9" r:id="rId16"/>
    <pivotCache cacheId="13" r:id="rId17"/>
    <pivotCache cacheId="17" r:id="rId18"/>
    <pivotCache cacheId="22" r:id="rId19"/>
    <pivotCache cacheId="26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<sst xmlns="http://schemas.openxmlformats.org/spreadsheetml/2006/main" count="232" uniqueCount="119">
  <si>
    <t>Zone</t>
  </si>
  <si>
    <t>Name</t>
  </si>
  <si>
    <t>In Service</t>
  </si>
  <si>
    <t>Voltage [p.u]</t>
  </si>
  <si>
    <t>Active Power [MW]</t>
  </si>
  <si>
    <t>Reactive Power [MVAr]</t>
  </si>
  <si>
    <t>Voltage Level [kV]</t>
  </si>
  <si>
    <t>Voltage Phase [degree]</t>
  </si>
  <si>
    <t>Demand</t>
  </si>
  <si>
    <t>Bus Index</t>
  </si>
  <si>
    <t>In service</t>
  </si>
  <si>
    <t>Load Index</t>
  </si>
  <si>
    <t>Maximum Active Power [MW]</t>
  </si>
  <si>
    <t>Maximum Reactive Power [MVAr]</t>
  </si>
  <si>
    <t>Minimum Reactive Power [MVAr]</t>
  </si>
  <si>
    <t>Minimum Active Power [MW]</t>
  </si>
  <si>
    <t>Generator Index</t>
  </si>
  <si>
    <t xml:space="preserve"> Active Power [MW]</t>
  </si>
  <si>
    <t xml:space="preserve"> Reactive Power [MVAr]</t>
  </si>
  <si>
    <t>Tranmission and Distribution Lines</t>
  </si>
  <si>
    <t>Line Index</t>
  </si>
  <si>
    <t>Length [km]</t>
  </si>
  <si>
    <t>Maximum Loading [%]</t>
  </si>
  <si>
    <t>Number of Lines in Parallel</t>
  </si>
  <si>
    <t>Std. Type</t>
  </si>
  <si>
    <t>From Bus Act. Power [MW]</t>
  </si>
  <si>
    <t>To Bus Act. Power [MW]</t>
  </si>
  <si>
    <t>To Bus Raact. Power [MVAr]</t>
  </si>
  <si>
    <t>Transformers</t>
  </si>
  <si>
    <t>Buses Parameters</t>
  </si>
  <si>
    <t>Time Step</t>
  </si>
  <si>
    <t>Step</t>
  </si>
  <si>
    <t>Trafo Index</t>
  </si>
  <si>
    <t>Number of Trafos in Parallel</t>
  </si>
  <si>
    <t>Std Type</t>
  </si>
  <si>
    <t>High Voltage Side [kV]</t>
  </si>
  <si>
    <t xml:space="preserve">Low Voltage Side [kV] </t>
  </si>
  <si>
    <t>FE Losses [kW]</t>
  </si>
  <si>
    <t>Shift Degree</t>
  </si>
  <si>
    <t>Tap Position</t>
  </si>
  <si>
    <t>HV Act. Power [MW]</t>
  </si>
  <si>
    <t>HV React. Power [MVAr]</t>
  </si>
  <si>
    <t>LV Act. Power [MW]</t>
  </si>
  <si>
    <t>LV React. Power [MVAr]</t>
  </si>
  <si>
    <t>Generators</t>
  </si>
  <si>
    <t>Row Labels</t>
  </si>
  <si>
    <t>Grand Total</t>
  </si>
  <si>
    <t>(All)</t>
  </si>
  <si>
    <t>Column Labels</t>
  </si>
  <si>
    <t>Pandapower Command</t>
  </si>
  <si>
    <t>Parameter</t>
  </si>
  <si>
    <t>Loading  [%]</t>
  </si>
  <si>
    <t>Loading [%]</t>
  </si>
  <si>
    <t>step</t>
  </si>
  <si>
    <t>index</t>
  </si>
  <si>
    <t>zone</t>
  </si>
  <si>
    <t>name</t>
  </si>
  <si>
    <t>from_bus</t>
  </si>
  <si>
    <t>to_bus</t>
  </si>
  <si>
    <t>in_service</t>
  </si>
  <si>
    <t>length_km</t>
  </si>
  <si>
    <t>max_i_ka</t>
  </si>
  <si>
    <t>max_loading_percent</t>
  </si>
  <si>
    <t>parallel</t>
  </si>
  <si>
    <t>std_type</t>
  </si>
  <si>
    <t>p_from_mw</t>
  </si>
  <si>
    <t>q_from_mvar</t>
  </si>
  <si>
    <t>p_to_mw</t>
  </si>
  <si>
    <t>q_to_mvar</t>
  </si>
  <si>
    <t>pl_mw</t>
  </si>
  <si>
    <t>ql_mvar</t>
  </si>
  <si>
    <t>loading_percent</t>
  </si>
  <si>
    <t>hv_bus</t>
  </si>
  <si>
    <t>lv_bus</t>
  </si>
  <si>
    <t>vn_hv_kv</t>
  </si>
  <si>
    <t>vn_lv_kv</t>
  </si>
  <si>
    <t>pfe_kw</t>
  </si>
  <si>
    <t>shift_degree</t>
  </si>
  <si>
    <t>tap_pos</t>
  </si>
  <si>
    <t>p_hv_mw</t>
  </si>
  <si>
    <t>q_hv_mvar</t>
  </si>
  <si>
    <t>p_lv_mw</t>
  </si>
  <si>
    <t>q_lv_mvar</t>
  </si>
  <si>
    <t>vn_kv</t>
  </si>
  <si>
    <t>vm_pu</t>
  </si>
  <si>
    <t>va_degree</t>
  </si>
  <si>
    <t>p_mw</t>
  </si>
  <si>
    <t>q_mvar</t>
  </si>
  <si>
    <t>bus</t>
  </si>
  <si>
    <t>Line Name</t>
  </si>
  <si>
    <t>To Bus Index</t>
  </si>
  <si>
    <t>From Bus Index</t>
  </si>
  <si>
    <t>Max Current [A]</t>
  </si>
  <si>
    <t>From Bus React. Power [MVAr]</t>
  </si>
  <si>
    <t>Active Losses [MW]</t>
  </si>
  <si>
    <t>Reactive Losses [MVar]</t>
  </si>
  <si>
    <t>HV Bus Index</t>
  </si>
  <si>
    <t>LV Bus Index</t>
  </si>
  <si>
    <t>Reactive Losses [MVAr]</t>
  </si>
  <si>
    <t>fuel</t>
  </si>
  <si>
    <t>max_p_mw</t>
  </si>
  <si>
    <t>max_q_mw</t>
  </si>
  <si>
    <t>min_p_mw</t>
  </si>
  <si>
    <t>min_q_mvar</t>
  </si>
  <si>
    <t xml:space="preserve">p_mw </t>
  </si>
  <si>
    <t>Fuel / Source</t>
  </si>
  <si>
    <t>Voltage Setting Point [PV bus]</t>
  </si>
  <si>
    <t>type</t>
  </si>
  <si>
    <t>Type</t>
  </si>
  <si>
    <t>Sum of p_mw</t>
  </si>
  <si>
    <t xml:space="preserve">Sum of p_mw </t>
  </si>
  <si>
    <t>Sum of vm_pu</t>
  </si>
  <si>
    <t>Sum of pl_mw</t>
  </si>
  <si>
    <t>Max of loading_percent</t>
  </si>
  <si>
    <t>Min of loading_percent</t>
  </si>
  <si>
    <t>Average of loading_percent</t>
  </si>
  <si>
    <t>(blank)</t>
  </si>
  <si>
    <t>Scenario Name</t>
  </si>
  <si>
    <t>scenario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</si>
</sst>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vertical="top" wrapText="1"/>
    </xf>
    <xf numFmtId="0" fontId="0" fillId="0" borderId="0" xfId="0" quotePrefix="1" applyAlignment="1">
      <alignment horizontal="center" vertical="top" wrapText="1"/>
    </xf>
    <xf numFmtId="0" fontId="3" fillId="0" borderId="1" xfId="0" applyFont="1" applyBorder="1" applyAlignment="1">
      <alignment horizontal="center" vertical="top" wrapText="1"/>
    </xf>
    <xf numFmtId="0" fontId="0" fillId="3" borderId="2" xfId="0" applyFill="1" applyBorder="1"/>
    <xf numFmtId="0" fontId="0" fillId="0" borderId="2" xfId="0" applyBorder="1"/>
    <xf numFmtId="0" fontId="3" fillId="0" borderId="0" xfId="0" applyFont="1" applyAlignment="1">
      <alignment horizontal="center"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3" fillId="0" borderId="0" xfId="0" applyFont="1" applyAlignment="1">
      <alignment horizontal="center" vertical="center" wrapText="1"/>
    </xf>
    <xf numFmtId="0" fontId="0" fillId="0" borderId="3" xfId="0" applyBorder="1"/>
    <xf numFmtId="0" fontId="3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top"/>
    </xf>
    <xf numFmtId="0" fontId="3" fillId="0" borderId="1" xfId="0" quotePrefix="1" applyFont="1" applyBorder="1" applyAlignment="1">
      <alignment horizontal="center" vertical="center" wrapText="1"/>
    </xf>
    <xf numFmtId="0" fontId="0" fillId="3" borderId="0" xfId="0" applyFill="1"/>
    <xf numFmtId="0" fontId="2" fillId="2" borderId="0" xfId="0" applyFont="1" applyFill="1" applyAlignment="1">
      <alignment horizontal="center" vertical="center"/>
    </xf>
    <xf numFmtId="0" fontId="0" fillId="0" borderId="0" xfId="0" applyNumberFormat="1"/>
    <xf numFmtId="0" fontId="3" fillId="0" borderId="0" xfId="0" applyFont="1" applyFill="1" applyBorder="1" applyAlignment="1">
      <alignment horizontal="center" vertical="top" wrapText="1"/>
    </xf>
  </cellXfs>
  <cellStyles count="1">
    <cellStyle name="Normal" xfId="0" builtinId="0"/>
  </cellStyles>
  <dxfs count="4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ill>
        <patternFill patternType="solid">
          <fgColor theme="8" tint="0.79998168889431442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top" textRotation="0" indent="0" justifyLastLine="0" shrinkToFit="0" readingOrder="0"/>
    </dxf>
    <dxf>
      <fill>
        <patternFill patternType="solid">
          <fgColor theme="8" tint="0.79998168889431442"/>
          <bgColor theme="8" tint="0.79998168889431442"/>
        </patternFill>
      </fill>
    </dxf>
    <dxf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[output_template.xlsm]Lines01!PivotTable2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Maximum,</a:t>
            </a:r>
            <a:r>
              <a:rPr lang="en-US" baseline="0"/>
              <a:t> average and minimum loading of lines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Lines01!$B$4</c:f>
              <c:strCache>
                <c:ptCount val="1"/>
                <c:pt idx="0">
                  <c:v>Max of loading_percent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Lines01!$A$5:$A$6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Lines01!$B$5:$B$6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D1-4D8B-B613-E7036B16E6FF}"/>
            </c:ext>
          </c:extLst>
        </c:ser>
        <c:ser>
          <c:idx val="1"/>
          <c:order val="1"/>
          <c:tx>
            <c:strRef>
              <c:f>Lines01!$C$4</c:f>
              <c:strCache>
                <c:ptCount val="1"/>
                <c:pt idx="0">
                  <c:v>Min of loading_percent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Lines01!$A$5:$A$6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Lines01!$C$5:$C$6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D1-4D8B-B613-E7036B16E6FF}"/>
            </c:ext>
          </c:extLst>
        </c:ser>
        <c:ser>
          <c:idx val="2"/>
          <c:order val="2"/>
          <c:tx>
            <c:strRef>
              <c:f>Lines01!$D$4</c:f>
              <c:strCache>
                <c:ptCount val="1"/>
                <c:pt idx="0">
                  <c:v>Average of loading_percent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Lines01!$A$5:$A$6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Lines01!$D$5:$D$6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CD1-4D8B-B613-E7036B16E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6656000"/>
        <c:axId val="1066656416"/>
      </c:lineChart>
      <c:catAx>
        <c:axId val="1066656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656416"/>
        <c:crosses val="autoZero"/>
        <c:auto val="1"/>
        <c:lblAlgn val="ctr"/>
        <c:lblOffset val="100"/>
        <c:noMultiLvlLbl val="0"/>
      </c:catAx>
      <c:valAx>
        <c:axId val="106665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65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[output_template.xlsm]Lines02!PivotTable3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</a:t>
            </a:r>
            <a:r>
              <a:rPr lang="en-US" baseline="0"/>
              <a:t> Losses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Lines02!$B$5:$B$6</c:f>
              <c:strCache>
                <c:ptCount val="1"/>
                <c:pt idx="0">
                  <c:v>(blank)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Lines02!$A$7:$A$8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Lines02!$B$7:$B$8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59-492C-A04E-823B5D4A13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4179664"/>
        <c:axId val="1194155536"/>
      </c:lineChart>
      <c:catAx>
        <c:axId val="1194179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4155536"/>
        <c:crosses val="autoZero"/>
        <c:auto val="1"/>
        <c:lblAlgn val="ctr"/>
        <c:lblOffset val="100"/>
        <c:noMultiLvlLbl val="0"/>
      </c:catAx>
      <c:valAx>
        <c:axId val="119415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417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[output_template.xlsm]Gen01!ptgen01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/>
          </a:solidFill>
          <a:ln w="25400"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/>
          </a:solidFill>
          <a:ln w="25400"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0"/>
          <c:order val="0"/>
          <c:tx>
            <c:strRef>
              <c:f>'Gen01'!$C$3:$C$4</c:f>
              <c:strCache>
                <c:ptCount val="1"/>
                <c:pt idx="0">
                  <c:v>(blank)</c:v>
                </c:pt>
              </c:strCache>
            </c:strRef>
          </c:tx>
          <c:cat>
            <c:strRef>
              <c:f>'Gen01'!$B$5:$B$6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'Gen01'!$C$5:$C$6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8230-451E-A80D-53FF204BC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790176"/>
        <c:axId val="781804320"/>
      </c:areaChart>
      <c:catAx>
        <c:axId val="78179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04320"/>
        <c:crosses val="autoZero"/>
        <c:auto val="1"/>
        <c:lblAlgn val="ctr"/>
        <c:lblOffset val="100"/>
        <c:noMultiLvlLbl val="0"/>
      </c:catAx>
      <c:valAx>
        <c:axId val="78180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Generation [MW]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790176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[output_template.xlsm]Trafos02!PivotTable1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Trafo Losses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Trafos02!$B$4:$B$5</c:f>
              <c:strCache>
                <c:ptCount val="1"/>
                <c:pt idx="0">
                  <c:v>Grand 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Trafos02!$A$6</c:f>
              <c:strCache>
                <c:ptCount val="1"/>
                <c:pt idx="0">
                  <c:v>Grand Total</c:v>
                </c:pt>
              </c:strCache>
            </c:strRef>
          </c:cat>
          <c:val>
            <c:numRef>
              <c:f>Trafos02!$B$6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A0B-4ADE-AA2A-245FCC27D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67343"/>
        <c:axId val="36771919"/>
      </c:lineChart>
      <c:catAx>
        <c:axId val="367673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71919"/>
        <c:crosses val="autoZero"/>
        <c:auto val="1"/>
        <c:lblAlgn val="ctr"/>
        <c:lblOffset val="100"/>
        <c:noMultiLvlLbl val="0"/>
      </c:catAx>
      <c:valAx>
        <c:axId val="3677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673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[output_template.xlsm]Trafos01!PivotTable2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Maximum, average and minimum loading of Trafos</a:t>
            </a:r>
            <a:endParaRPr lang="en-US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Trafos01!$B$4</c:f>
              <c:strCache>
                <c:ptCount val="1"/>
                <c:pt idx="0">
                  <c:v>Max of loading_percent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Trafos01!$A$5:$A$6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Trafos01!$B$5:$B$6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C-4507-9759-A961F271FD14}"/>
            </c:ext>
          </c:extLst>
        </c:ser>
        <c:ser>
          <c:idx val="1"/>
          <c:order val="1"/>
          <c:tx>
            <c:strRef>
              <c:f>Trafos01!$C$4</c:f>
              <c:strCache>
                <c:ptCount val="1"/>
                <c:pt idx="0">
                  <c:v>Min of loading_percent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Trafos01!$A$5:$A$6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Trafos01!$C$5:$C$6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4C-4507-9759-A961F271FD14}"/>
            </c:ext>
          </c:extLst>
        </c:ser>
        <c:ser>
          <c:idx val="2"/>
          <c:order val="2"/>
          <c:tx>
            <c:strRef>
              <c:f>Trafos01!$D$4</c:f>
              <c:strCache>
                <c:ptCount val="1"/>
                <c:pt idx="0">
                  <c:v>Average of loading_percent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Trafos01!$A$5:$A$6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Trafos01!$D$5:$D$6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4C-4507-9759-A961F271F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6973007"/>
        <c:axId val="366974255"/>
      </c:lineChart>
      <c:catAx>
        <c:axId val="366973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974255"/>
        <c:crosses val="autoZero"/>
        <c:auto val="1"/>
        <c:lblAlgn val="ctr"/>
        <c:lblOffset val="100"/>
        <c:noMultiLvlLbl val="0"/>
      </c:catAx>
      <c:valAx>
        <c:axId val="366974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9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[output_template.xlsm]Gen01!ptgen01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 Share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'Gen01'!$C$3:$C$4</c:f>
              <c:strCache>
                <c:ptCount val="1"/>
                <c:pt idx="0">
                  <c:v>(blank)</c:v>
                </c:pt>
              </c:strCache>
            </c:strRef>
          </c:tx>
          <c:invertIfNegative val="0"/>
          <c:cat>
            <c:strRef>
              <c:f>'Gen01'!$B$5:$B$6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'Gen01'!$C$5:$C$6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58E5-4E84-8463-0D89FAA85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81790176"/>
        <c:axId val="781804320"/>
      </c:barChart>
      <c:catAx>
        <c:axId val="78179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04320"/>
        <c:crosses val="autoZero"/>
        <c:auto val="1"/>
        <c:lblAlgn val="ctr"/>
        <c:lblOffset val="100"/>
        <c:noMultiLvlLbl val="0"/>
      </c:catAx>
      <c:valAx>
        <c:axId val="78180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Generation Share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790176"/>
        <c:crosses val="autoZero"/>
        <c:crossBetween val="between"/>
      </c:valAx>
    </c:plotArea>
    <c:plotVisOnly val="1"/>
    <c:dispBlanksAs val="zero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[output_template.xlsm]bus01!PivotTable3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Buses Voltage</a:t>
            </a:r>
          </a:p>
        </c:rich>
      </c:tx>
      <c:layout>
        <c:manualLayout>
          <c:xMode val="edge"/>
          <c:yMode val="edge"/>
          <c:x val="0.44644351375731539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'bus01'!$B$4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'bus01'!$A$5:$A$6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'bus01'!$B$5:$B$6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9FBD-4336-A51B-CA363AA6C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784079"/>
        <c:axId val="451808623"/>
      </c:barChart>
      <c:catAx>
        <c:axId val="4517840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 Index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808623"/>
        <c:crosses val="autoZero"/>
        <c:auto val="1"/>
        <c:lblAlgn val="ctr"/>
        <c:lblOffset val="100"/>
        <c:noMultiLvlLbl val="0"/>
      </c:catAx>
      <c:valAx>
        <c:axId val="451808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[p.u.]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784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[output_template.xlsm]Demand01!PivotTable4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Demand01!$B$4:$B$5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Demand01!$A$6:$A$7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Demand01!$B$6:$B$7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6255-49D5-8D4C-52311B12C0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51801135"/>
        <c:axId val="451794063"/>
      </c:barChart>
      <c:catAx>
        <c:axId val="4518011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794063"/>
        <c:crosses val="autoZero"/>
        <c:auto val="1"/>
        <c:lblAlgn val="ctr"/>
        <c:lblOffset val="100"/>
        <c:noMultiLvlLbl val="0"/>
      </c:catAx>
      <c:valAx>
        <c:axId val="45179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[MW]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8011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19050</xdr:rowOff>
        </xdr:from>
        <xdr:to>
          <xdr:col>5</xdr:col>
          <xdr:colOff>0</xdr:colOff>
          <xdr:row>8</xdr:row>
          <xdr:rowOff>9525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9</xdr:row>
          <xdr:rowOff>9525</xdr:rowOff>
        </xdr:from>
        <xdr:to>
          <xdr:col>4</xdr:col>
          <xdr:colOff>581025</xdr:colOff>
          <xdr:row>10</xdr:row>
          <xdr:rowOff>171450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Unhide Sheets with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11</xdr:row>
          <xdr:rowOff>19050</xdr:rowOff>
        </xdr:from>
        <xdr:to>
          <xdr:col>4</xdr:col>
          <xdr:colOff>571500</xdr:colOff>
          <xdr:row>12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 Sheets with Pivot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188670</xdr:colOff>
      <xdr:row>42</xdr:row>
      <xdr:rowOff>128954</xdr:rowOff>
    </xdr:from>
    <xdr:to>
      <xdr:col>16</xdr:col>
      <xdr:colOff>48708</xdr:colOff>
      <xdr:row>54</xdr:row>
      <xdr:rowOff>169669</xdr:rowOff>
    </xdr:to>
    <xdr:graphicFrame macro="">
      <xdr:nvGraphicFramePr>
        <xdr:cNvPr id="8" name="line0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87264</xdr:colOff>
      <xdr:row>42</xdr:row>
      <xdr:rowOff>128954</xdr:rowOff>
    </xdr:from>
    <xdr:to>
      <xdr:col>23</xdr:col>
      <xdr:colOff>441010</xdr:colOff>
      <xdr:row>54</xdr:row>
      <xdr:rowOff>172241</xdr:rowOff>
    </xdr:to>
    <xdr:graphicFrame macro="">
      <xdr:nvGraphicFramePr>
        <xdr:cNvPr id="20" name="line0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185058</xdr:colOff>
      <xdr:row>6</xdr:row>
      <xdr:rowOff>52407</xdr:rowOff>
    </xdr:from>
    <xdr:to>
      <xdr:col>23</xdr:col>
      <xdr:colOff>438595</xdr:colOff>
      <xdr:row>23</xdr:row>
      <xdr:rowOff>43835</xdr:rowOff>
    </xdr:to>
    <xdr:graphicFrame macro="">
      <xdr:nvGraphicFramePr>
        <xdr:cNvPr id="2" name="gen0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98001</xdr:colOff>
      <xdr:row>55</xdr:row>
      <xdr:rowOff>77475</xdr:rowOff>
    </xdr:from>
    <xdr:to>
      <xdr:col>23</xdr:col>
      <xdr:colOff>440541</xdr:colOff>
      <xdr:row>68</xdr:row>
      <xdr:rowOff>68515</xdr:rowOff>
    </xdr:to>
    <xdr:graphicFrame macro="">
      <xdr:nvGraphicFramePr>
        <xdr:cNvPr id="3" name="trafo0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194231</xdr:colOff>
      <xdr:row>55</xdr:row>
      <xdr:rowOff>69303</xdr:rowOff>
    </xdr:from>
    <xdr:to>
      <xdr:col>16</xdr:col>
      <xdr:colOff>44968</xdr:colOff>
      <xdr:row>68</xdr:row>
      <xdr:rowOff>60343</xdr:rowOff>
    </xdr:to>
    <xdr:graphicFrame macro="">
      <xdr:nvGraphicFramePr>
        <xdr:cNvPr id="4" name="trafo0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185059</xdr:colOff>
      <xdr:row>23</xdr:row>
      <xdr:rowOff>57978</xdr:rowOff>
    </xdr:from>
    <xdr:to>
      <xdr:col>23</xdr:col>
      <xdr:colOff>433755</xdr:colOff>
      <xdr:row>41</xdr:row>
      <xdr:rowOff>129540</xdr:rowOff>
    </xdr:to>
    <xdr:graphicFrame macro="">
      <xdr:nvGraphicFramePr>
        <xdr:cNvPr id="5" name="gen02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197999</xdr:colOff>
      <xdr:row>69</xdr:row>
      <xdr:rowOff>6180</xdr:rowOff>
    </xdr:from>
    <xdr:to>
      <xdr:col>23</xdr:col>
      <xdr:colOff>431046</xdr:colOff>
      <xdr:row>84</xdr:row>
      <xdr:rowOff>68869</xdr:rowOff>
    </xdr:to>
    <xdr:graphicFrame macro="">
      <xdr:nvGraphicFramePr>
        <xdr:cNvPr id="9" name="bus0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126124</xdr:colOff>
      <xdr:row>85</xdr:row>
      <xdr:rowOff>18281</xdr:rowOff>
    </xdr:from>
    <xdr:to>
      <xdr:col>23</xdr:col>
      <xdr:colOff>465015</xdr:colOff>
      <xdr:row>100</xdr:row>
      <xdr:rowOff>72501</xdr:rowOff>
    </xdr:to>
    <xdr:graphicFrame macro="">
      <xdr:nvGraphicFramePr>
        <xdr:cNvPr id="18" name="demand01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938.513367476851" createdVersion="8" refreshedVersion="8" minRefreshableVersion="3" recordCount="1" xr:uid="{B39AD0D5-320F-4CDE-AAEA-6154DD2D13D1}">
  <cacheSource type="worksheet">
    <worksheetSource name="Generation"/>
  </cacheSource>
  <cacheFields count="15">
    <cacheField name="Step" numFmtId="0">
      <sharedItems containsNonDate="0" containsString="0" containsBlank="1" containsNumber="1" containsInteger="1" minValue="0" maxValue="19" count="21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type" numFmtId="0">
      <sharedItems containsNonDate="0" containsString="0" containsBlank="1"/>
    </cacheField>
    <cacheField name="Index" numFmtId="0">
      <sharedItems containsNonDate="0" containsString="0" containsBlank="1"/>
    </cacheField>
    <cacheField name="zone" numFmtId="0">
      <sharedItems containsNonDate="0" containsString="0" containsBlank="1" containsNumber="1" containsInteger="1" minValue="1" maxValue="1" count="2">
        <m/>
        <n v="1" u="1"/>
      </sharedItems>
    </cacheField>
    <cacheField name="bus" numFmtId="0">
      <sharedItems containsNonDate="0" containsString="0" containsBlank="1"/>
    </cacheField>
    <cacheField name="name" numFmtId="0">
      <sharedItems containsNonDate="0" containsString="0" containsBlank="1"/>
    </cacheField>
    <cacheField name="in_service" numFmtId="0">
      <sharedItems containsNonDate="0" containsString="0" containsBlank="1"/>
    </cacheField>
    <cacheField name="fuel" numFmtId="0">
      <sharedItems containsNonDate="0" containsBlank="1" count="5">
        <m/>
        <s v="NG" u="1"/>
        <s v="Wind" u="1"/>
        <s v="Coal" u="1"/>
        <s v="---" u="1"/>
      </sharedItems>
    </cacheField>
    <cacheField name="vm_pu" numFmtId="0">
      <sharedItems containsNonDate="0" containsString="0" containsBlank="1"/>
    </cacheField>
    <cacheField name="max_p_mw" numFmtId="0">
      <sharedItems containsNonDate="0" containsString="0" containsBlank="1"/>
    </cacheField>
    <cacheField name="max_q_mw" numFmtId="0">
      <sharedItems containsNonDate="0" containsString="0" containsBlank="1"/>
    </cacheField>
    <cacheField name="min_p_mw" numFmtId="0">
      <sharedItems containsNonDate="0" containsString="0" containsBlank="1"/>
    </cacheField>
    <cacheField name="min_q_mvar" numFmtId="0">
      <sharedItems containsNonDate="0" containsString="0" containsBlank="1"/>
    </cacheField>
    <cacheField name="p_mw " numFmtId="0">
      <sharedItems containsNonDate="0" containsString="0" containsBlank="1"/>
    </cacheField>
    <cacheField name="q_mvar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923745019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938.513404513891" createdVersion="8" refreshedVersion="8" minRefreshableVersion="3" recordCount="1" xr:uid="{31659242-2421-4528-918B-0B0964891456}">
  <cacheSource type="worksheet">
    <worksheetSource name="Lines"/>
  </cacheSource>
  <cacheFields count="19">
    <cacheField name="step" numFmtId="0">
      <sharedItems containsNonDate="0" containsString="0" containsBlank="1" containsNumber="1" containsInteger="1" minValue="0" maxValue="19" count="21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numFmtId="0">
      <sharedItems containsNonDate="0" containsString="0" containsBlank="1"/>
    </cacheField>
    <cacheField name="zone" numFmtId="0">
      <sharedItems containsNonDate="0" containsString="0" containsBlank="1" containsNumber="1" containsInteger="1" minValue="1" maxValue="1" count="2">
        <m/>
        <n v="1" u="1"/>
      </sharedItems>
    </cacheField>
    <cacheField name="name" numFmtId="0">
      <sharedItems containsNonDate="0" containsString="0" containsBlank="1"/>
    </cacheField>
    <cacheField name="from_bus" numFmtId="0">
      <sharedItems containsNonDate="0" containsString="0" containsBlank="1"/>
    </cacheField>
    <cacheField name="to_bus" numFmtId="0">
      <sharedItems containsNonDate="0" containsString="0" containsBlank="1"/>
    </cacheField>
    <cacheField name="in_service" numFmtId="0">
      <sharedItems containsNonDate="0" containsString="0" containsBlank="1"/>
    </cacheField>
    <cacheField name="length_km" numFmtId="0">
      <sharedItems containsNonDate="0" containsString="0" containsBlank="1"/>
    </cacheField>
    <cacheField name="max_i_ka" numFmtId="0">
      <sharedItems containsNonDate="0" containsString="0" containsBlank="1"/>
    </cacheField>
    <cacheField name="max_loading_percent" numFmtId="0">
      <sharedItems containsNonDate="0" containsString="0" containsBlank="1"/>
    </cacheField>
    <cacheField name="parallel" numFmtId="0">
      <sharedItems containsNonDate="0" containsString="0" containsBlank="1"/>
    </cacheField>
    <cacheField name="std_type" numFmtId="0">
      <sharedItems containsNonDate="0" containsString="0" containsBlank="1"/>
    </cacheField>
    <cacheField name="p_from_mw" numFmtId="0">
      <sharedItems containsNonDate="0" containsString="0" containsBlank="1"/>
    </cacheField>
    <cacheField name="q_from_mvar" numFmtId="0">
      <sharedItems containsNonDate="0" containsString="0" containsBlank="1"/>
    </cacheField>
    <cacheField name="p_to_mw" numFmtId="0">
      <sharedItems containsNonDate="0" containsString="0" containsBlank="1"/>
    </cacheField>
    <cacheField name="q_to_mvar" numFmtId="0">
      <sharedItems containsNonDate="0" containsString="0" containsBlank="1"/>
    </cacheField>
    <cacheField name="pl_mw" numFmtId="0">
      <sharedItems containsNonDate="0" containsString="0" containsBlank="1"/>
    </cacheField>
    <cacheField name="ql_mvar" numFmtId="0">
      <sharedItems containsNonDate="0" containsString="0" containsBlank="1"/>
    </cacheField>
    <cacheField name="loading_percen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967741940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938.513439467592" createdVersion="8" refreshedVersion="8" minRefreshableVersion="3" recordCount="1" xr:uid="{94605D9B-A09C-43DF-8117-38A3B979163A}">
  <cacheSource type="worksheet">
    <worksheetSource name="Trafos"/>
  </cacheSource>
  <cacheFields count="21">
    <cacheField name="step" numFmtId="0">
      <sharedItems containsNonDate="0" containsString="0" containsBlank="1" containsNumber="1" containsInteger="1" minValue="0" maxValue="19" count="21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numFmtId="0">
      <sharedItems containsNonDate="0" containsString="0" containsBlank="1"/>
    </cacheField>
    <cacheField name="zone" numFmtId="0">
      <sharedItems containsNonDate="0" containsBlank="1" count="2">
        <m/>
        <s v="---" u="1"/>
      </sharedItems>
    </cacheField>
    <cacheField name="name" numFmtId="0">
      <sharedItems containsNonDate="0" containsString="0" containsBlank="1"/>
    </cacheField>
    <cacheField name="std_type" numFmtId="0">
      <sharedItems containsNonDate="0" containsString="0" containsBlank="1"/>
    </cacheField>
    <cacheField name="hv_bus" numFmtId="0">
      <sharedItems containsNonDate="0" containsString="0" containsBlank="1"/>
    </cacheField>
    <cacheField name="lv_bus" numFmtId="0">
      <sharedItems containsNonDate="0" containsString="0" containsBlank="1"/>
    </cacheField>
    <cacheField name="vn_hv_kv" numFmtId="0">
      <sharedItems containsNonDate="0" containsString="0" containsBlank="1"/>
    </cacheField>
    <cacheField name="vn_lv_kv" numFmtId="0">
      <sharedItems containsNonDate="0" containsString="0" containsBlank="1"/>
    </cacheField>
    <cacheField name="pfe_kw" numFmtId="0">
      <sharedItems containsNonDate="0" containsString="0" containsBlank="1"/>
    </cacheField>
    <cacheField name="shift_degree" numFmtId="0">
      <sharedItems containsNonDate="0" containsString="0" containsBlank="1"/>
    </cacheField>
    <cacheField name="tap_pos" numFmtId="0">
      <sharedItems containsNonDate="0" containsString="0" containsBlank="1"/>
    </cacheField>
    <cacheField name="parallel" numFmtId="0">
      <sharedItems containsNonDate="0" containsString="0" containsBlank="1"/>
    </cacheField>
    <cacheField name="in_service" numFmtId="0">
      <sharedItems containsNonDate="0" containsString="0" containsBlank="1"/>
    </cacheField>
    <cacheField name="p_hv_mw" numFmtId="0">
      <sharedItems containsNonDate="0" containsString="0" containsBlank="1"/>
    </cacheField>
    <cacheField name="q_hv_mvar" numFmtId="0">
      <sharedItems containsNonDate="0" containsString="0" containsBlank="1"/>
    </cacheField>
    <cacheField name="p_lv_mw" numFmtId="0">
      <sharedItems containsNonDate="0" containsString="0" containsBlank="1"/>
    </cacheField>
    <cacheField name="q_lv_mvar" numFmtId="0">
      <sharedItems containsNonDate="0" containsString="0" containsBlank="1"/>
    </cacheField>
    <cacheField name="pl_mw" numFmtId="0">
      <sharedItems containsNonDate="0" containsString="0" containsBlank="1"/>
    </cacheField>
    <cacheField name="ql_mvar" numFmtId="0">
      <sharedItems containsNonDate="0" containsString="0" containsBlank="1"/>
    </cacheField>
    <cacheField name="loading_percen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206342194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938.513474884261" createdVersion="8" refreshedVersion="8" minRefreshableVersion="3" recordCount="1" xr:uid="{5270DA27-09A3-4A5E-B1AE-BD7F984983B9}">
  <cacheSource type="worksheet">
    <worksheetSource name="Buses"/>
  </cacheSource>
  <cacheFields count="10">
    <cacheField name="step" numFmtId="0">
      <sharedItems containsNonDate="0" containsString="0" containsBlank="1" containsNumber="1" containsInteger="1" minValue="0" maxValue="19" count="21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numFmtId="0">
      <sharedItems containsNonDate="0" containsString="0" containsBlank="1" containsNumber="1" containsInteger="1" minValue="0" maxValue="319" count="180">
        <m/>
        <n v="0" u="1"/>
        <n v="7" u="1"/>
        <n v="3" u="1"/>
        <n v="170" u="1"/>
        <n v="109" u="1"/>
        <n v="223" u="1"/>
        <n v="143" u="1"/>
        <n v="196" u="1"/>
        <n v="82" u="1"/>
        <n v="53" u="1"/>
        <n v="33" u="1"/>
        <n v="169" u="1"/>
        <n v="142" u="1"/>
        <n v="95" u="1"/>
        <n v="195" u="1"/>
        <n v="248" u="1"/>
        <n v="168" u="1"/>
        <n v="108" u="1"/>
        <n v="46" u="1"/>
        <n v="29" u="1"/>
        <n v="221" u="1"/>
        <n v="141" u="1"/>
        <n v="194" u="1"/>
        <n v="81" u="1"/>
        <n v="247" u="1"/>
        <n v="167" u="1"/>
        <n v="140" u="1"/>
        <n v="94" u="1"/>
        <n v="39" u="1"/>
        <n v="290" u="1"/>
        <n v="246" u="1"/>
        <n v="107" u="1"/>
        <n v="289" u="1"/>
        <n v="219" u="1"/>
        <n v="288" u="1"/>
        <n v="192" u="1"/>
        <n v="120" u="1"/>
        <n v="80" u="1"/>
        <n v="52" u="1"/>
        <n v="32" u="1"/>
        <n v="245" u="1"/>
        <n v="287" u="1"/>
        <n v="6" u="1"/>
        <n v="138" u="1"/>
        <n v="1" u="1"/>
        <n v="286" u="1"/>
        <n v="244" u="1"/>
        <n v="106" u="1"/>
        <n v="285" u="1"/>
        <n v="45" u="1"/>
        <n v="137" u="1"/>
        <n v="190" u="1"/>
        <n v="119" u="1"/>
        <n v="79" u="1"/>
        <n v="243" u="1"/>
        <n v="216" u="1"/>
        <n v="136" u="1"/>
        <n v="58" u="1"/>
        <n v="38" u="1"/>
        <n v="189" u="1"/>
        <n v="242" u="1"/>
        <n v="162" u="1"/>
        <n v="281" u="1"/>
        <n v="65" u="1"/>
        <n v="215" u="1"/>
        <n v="188" u="1"/>
        <n v="118" u="1"/>
        <n v="78" u="1"/>
        <n v="51" u="1"/>
        <n v="241" u="1"/>
        <n v="161" u="1"/>
        <n v="134" u="1"/>
        <n v="240" u="1"/>
        <n v="104" u="1"/>
        <n v="64" u="1"/>
        <n v="44" u="1"/>
        <n v="213" u="1"/>
        <n v="133" u="1"/>
        <n v="5" u="1"/>
        <n v="186" u="1"/>
        <n v="2" u="1"/>
        <n v="117" u="1"/>
        <n v="77" u="1"/>
        <n v="239" u="1"/>
        <n v="159" u="1"/>
        <n v="275" u="1"/>
        <n v="132" u="1"/>
        <n v="57" u="1"/>
        <n v="37" u="1"/>
        <n v="238" u="1"/>
        <n v="103" u="1"/>
        <n v="273" u="1"/>
        <n v="131" u="1"/>
        <n v="184" u="1"/>
        <n v="116" u="1"/>
        <n v="76" u="1"/>
        <n v="50" u="1"/>
        <n v="31" u="1"/>
        <n v="237" u="1"/>
        <n v="157" u="1"/>
        <n v="271" u="1"/>
        <n v="210" u="1"/>
        <n v="236" u="1"/>
        <n v="102" u="1"/>
        <n v="269" u="1"/>
        <n v="43" u="1"/>
        <n v="129" u="1"/>
        <n v="75" u="1"/>
        <n v="235" u="1"/>
        <n v="155" u="1"/>
        <n v="56" u="1"/>
        <n v="36" u="1"/>
        <n v="181" u="1"/>
        <n v="319" u="1"/>
        <n v="4" u="1"/>
        <n v="101" u="1"/>
        <n v="318" u="1"/>
        <n v="207" u="1"/>
        <n v="317" u="1"/>
        <n v="74" u="1"/>
        <n v="49" u="1"/>
        <n v="153" u="1"/>
        <n v="316" u="1"/>
        <n v="315" u="1"/>
        <n v="100" u="1"/>
        <n v="42" u="1"/>
        <n v="314" u="1"/>
        <n v="205" u="1"/>
        <n v="178" u="1"/>
        <n v="313" u="1"/>
        <n v="73" u="1"/>
        <n v="231" u="1"/>
        <n v="312" u="1"/>
        <n v="126" u="1"/>
        <n v="86" u="1"/>
        <n v="55" u="1"/>
        <n v="35" u="1"/>
        <n v="150" u="1"/>
        <n v="176" u="1"/>
        <n v="72" u="1"/>
        <n v="48" u="1"/>
        <n v="30" u="1"/>
        <n v="229" u="1"/>
        <n v="149" u="1"/>
        <n v="8" u="1"/>
        <n v="85" u="1"/>
        <n v="148" u="1"/>
        <n v="98" u="1"/>
        <n v="41" u="1"/>
        <n v="201" u="1"/>
        <n v="174" u="1"/>
        <n v="111" u="1"/>
        <n v="305" u="1"/>
        <n v="71" u="1"/>
        <n v="227" u="1"/>
        <n v="147" u="1"/>
        <n v="304" u="1"/>
        <n v="200" u="1"/>
        <n v="84" u="1"/>
        <n v="54" u="1"/>
        <n v="34" u="1"/>
        <n v="253" u="1"/>
        <n v="173" u="1"/>
        <n v="303" u="1"/>
        <n v="146" u="1"/>
        <n v="199" u="1"/>
        <n v="172" u="1"/>
        <n v="110" u="1"/>
        <n v="301" u="1"/>
        <n v="47" u="1"/>
        <n v="145" u="1"/>
        <n v="198" u="1"/>
        <n v="83" u="1"/>
        <n v="171" u="1"/>
        <n v="224" u="1"/>
        <n v="144" u="1"/>
        <n v="40" u="1"/>
        <n v="298" u="1"/>
        <n v="197" u="1"/>
      </sharedItems>
    </cacheField>
    <cacheField name="zone" numFmtId="0">
      <sharedItems containsNonDate="0" containsString="0" containsBlank="1" containsNumber="1" containsInteger="1" minValue="1" maxValue="1" count="2">
        <m/>
        <n v="1" u="1"/>
      </sharedItems>
    </cacheField>
    <cacheField name="name" numFmtId="0">
      <sharedItems containsNonDate="0" containsString="0" containsBlank="1"/>
    </cacheField>
    <cacheField name="vn_kv" numFmtId="0">
      <sharedItems containsNonDate="0" containsString="0" containsBlank="1"/>
    </cacheField>
    <cacheField name="in_service" numFmtId="0">
      <sharedItems containsNonDate="0" containsString="0" containsBlank="1"/>
    </cacheField>
    <cacheField name="vm_pu" numFmtId="0">
      <sharedItems containsNonDate="0" containsString="0" containsBlank="1"/>
    </cacheField>
    <cacheField name="va_degree" numFmtId="0">
      <sharedItems containsNonDate="0" containsString="0" containsBlank="1"/>
    </cacheField>
    <cacheField name="p_mw" numFmtId="0">
      <sharedItems containsNonDate="0" containsString="0" containsBlank="1"/>
    </cacheField>
    <cacheField name="q_mvar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79252685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938.51350439815" createdVersion="8" refreshedVersion="8" minRefreshableVersion="3" recordCount="1" xr:uid="{FD2DEA7C-01DB-41E3-9168-1201B46ACFCF}">
  <cacheSource type="worksheet">
    <worksheetSource name="Demand"/>
  </cacheSource>
  <cacheFields count="7">
    <cacheField name="step" numFmtId="0">
      <sharedItems containsNonDate="0" containsString="0" containsBlank="1" containsNumber="1" containsInteger="1" minValue="0" maxValue="19" count="21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numFmtId="0">
      <sharedItems containsNonDate="0" containsString="0" containsBlank="1"/>
    </cacheField>
    <cacheField name="zone" numFmtId="0">
      <sharedItems containsNonDate="0" containsString="0" containsBlank="1" containsNumber="1" containsInteger="1" minValue="1" maxValue="1" count="2">
        <m/>
        <n v="1" u="1"/>
      </sharedItems>
    </cacheField>
    <cacheField name="bus" numFmtId="0">
      <sharedItems containsNonDate="0" containsString="0" containsBlank="1"/>
    </cacheField>
    <cacheField name="in_service" numFmtId="0">
      <sharedItems containsNonDate="0" containsString="0" containsBlank="1"/>
    </cacheField>
    <cacheField name="p_mw" numFmtId="0">
      <sharedItems containsNonDate="0" containsString="0" containsBlank="1"/>
    </cacheField>
    <cacheField name="q_mvar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57020378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m/>
    <m/>
    <m/>
    <x v="0"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x v="0"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x v="0"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x v="0"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x v="0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B04B00-2F6E-4A6C-9AD4-324CA9A45A19}" name="PivotTable4" cacheId="2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C7" firstHeaderRow="1" firstDataRow="2" firstDataCol="1"/>
  <pivotFields count="7">
    <pivotField axis="axisRow" showAll="0">
      <items count="22">
        <item m="1" x="1"/>
        <item m="1" x="13"/>
        <item m="1" x="6"/>
        <item m="1" x="14"/>
        <item m="1" x="19"/>
        <item m="1" x="3"/>
        <item m="1" x="7"/>
        <item m="1" x="12"/>
        <item m="1" x="15"/>
        <item m="1" x="16"/>
        <item m="1" x="17"/>
        <item m="1" x="18"/>
        <item m="1" x="20"/>
        <item m="1" x="2"/>
        <item m="1" x="4"/>
        <item m="1" x="5"/>
        <item m="1" x="8"/>
        <item m="1" x="9"/>
        <item m="1" x="10"/>
        <item m="1" x="11"/>
        <item x="0"/>
        <item t="default"/>
      </items>
    </pivotField>
    <pivotField showAll="0"/>
    <pivotField axis="axisCol" showAll="0">
      <items count="3">
        <item m="1"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dataField="1" showAll="0"/>
    <pivotField showAll="0"/>
  </pivotFields>
  <rowFields count="1">
    <field x="0"/>
  </rowFields>
  <rowItems count="2">
    <i>
      <x v="20"/>
    </i>
    <i t="grand">
      <x/>
    </i>
  </rowItems>
  <colFields count="1">
    <field x="2"/>
  </colFields>
  <colItems count="2">
    <i>
      <x v="1"/>
    </i>
    <i t="grand">
      <x/>
    </i>
  </colItems>
  <dataFields count="1">
    <dataField name="Sum of p_mw" fld="5" baseField="0" baseItem="0"/>
  </dataFields>
  <chartFormats count="1"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81084C-7241-482B-94DE-7D1FB8970EE3}" name="ptgen01" cacheId="9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 chartFormat="8">
  <location ref="B3:D6" firstHeaderRow="1" firstDataRow="2" firstDataCol="1" rowPageCount="1" colPageCount="1"/>
  <pivotFields count="15">
    <pivotField axis="axisRow" showAll="0">
      <items count="22">
        <item m="1" x="1"/>
        <item m="1" x="13"/>
        <item m="1" x="6"/>
        <item m="1" x="14"/>
        <item m="1" x="19"/>
        <item m="1" x="3"/>
        <item m="1" x="7"/>
        <item m="1" x="12"/>
        <item m="1" x="15"/>
        <item m="1" x="16"/>
        <item m="1" x="17"/>
        <item m="1" x="18"/>
        <item m="1" x="20"/>
        <item m="1" x="2"/>
        <item m="1" x="4"/>
        <item m="1" x="5"/>
        <item m="1" x="8"/>
        <item m="1" x="9"/>
        <item m="1" x="10"/>
        <item m="1" x="1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>
      <items count="3">
        <item m="1"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6">
        <item m="1" x="3"/>
        <item m="1" x="1"/>
        <item m="1" x="2"/>
        <item x="0"/>
        <item m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2">
    <i>
      <x v="20"/>
    </i>
    <i t="grand">
      <x/>
    </i>
  </rowItems>
  <colFields count="1">
    <field x="7"/>
  </colFields>
  <colItems count="2">
    <i>
      <x v="3"/>
    </i>
    <i t="grand">
      <x/>
    </i>
  </colItems>
  <pageFields count="1">
    <pageField fld="3" hier="-1"/>
  </pageFields>
  <dataFields count="1">
    <dataField name="Sum of p_mw " fld="13" baseField="0" baseItem="0"/>
  </dataFields>
  <chartFormats count="4">
    <chartFormat chart="1" format="15" series="1">
      <pivotArea type="data" outline="0" fieldPosition="0">
        <references count="1">
          <reference field="7" count="1" selected="0">
            <x v="3"/>
          </reference>
        </references>
      </pivotArea>
    </chartFormat>
    <chartFormat chart="7" format="21" series="1">
      <pivotArea type="data" outline="0" fieldPosition="0">
        <references count="1">
          <reference field="7" count="1" selected="0">
            <x v="3"/>
          </reference>
        </references>
      </pivotArea>
    </chartFormat>
    <chartFormat chart="7" format="2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1" format="1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92902C-2313-434D-82CB-9C7D33868A07}" name="PivotTable1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C6" firstHeaderRow="1" firstDataRow="2" firstDataCol="1" rowPageCount="1" colPageCount="1"/>
  <pivotFields count="15">
    <pivotField axis="axisRow" showAll="0">
      <items count="22">
        <item m="1" x="1"/>
        <item m="1" x="13"/>
        <item m="1" x="6"/>
        <item m="1" x="14"/>
        <item m="1" x="19"/>
        <item m="1" x="3"/>
        <item m="1" x="7"/>
        <item m="1" x="12"/>
        <item m="1" x="15"/>
        <item m="1" x="16"/>
        <item m="1" x="17"/>
        <item m="1" x="18"/>
        <item m="1" x="20"/>
        <item m="1" x="2"/>
        <item m="1" x="4"/>
        <item m="1" x="5"/>
        <item m="1" x="8"/>
        <item m="1" x="9"/>
        <item m="1" x="10"/>
        <item m="1" x="11"/>
        <item x="0"/>
        <item t="default"/>
      </items>
    </pivotField>
    <pivotField showAll="0"/>
    <pivotField showAll="0"/>
    <pivotField axis="axisPage" showAll="0">
      <items count="3">
        <item m="1" x="1"/>
        <item x="0"/>
        <item t="default"/>
      </items>
    </pivotField>
    <pivotField showAll="0"/>
    <pivotField showAll="0"/>
    <pivotField showAll="0"/>
    <pivotField axis="axisCol" showAll="0">
      <items count="6">
        <item m="1" x="3"/>
        <item m="1" x="1"/>
        <item m="1" x="2"/>
        <item x="0"/>
        <item m="1" x="4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2">
    <i>
      <x v="20"/>
    </i>
    <i t="grand">
      <x/>
    </i>
  </rowItems>
  <colFields count="1">
    <field x="7"/>
  </colFields>
  <colItems count="2">
    <i>
      <x v="3"/>
    </i>
    <i t="grand">
      <x/>
    </i>
  </colItems>
  <pageFields count="1">
    <pageField fld="3" hier="-1"/>
  </pageFields>
  <dataFields count="1">
    <dataField name="Sum of p_mw 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B20957-ACD0-4FAD-BF0E-F45B5D0712DE}" name="PivotTable3" cacheId="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4:B6" firstHeaderRow="1" firstDataRow="1" firstDataCol="1" rowPageCount="2" colPageCount="1"/>
  <pivotFields count="10">
    <pivotField axis="axisPage" showAll="0">
      <items count="22">
        <item m="1" x="1"/>
        <item m="1" x="13"/>
        <item m="1" x="6"/>
        <item m="1" x="14"/>
        <item m="1" x="19"/>
        <item m="1" x="3"/>
        <item m="1" x="7"/>
        <item m="1" x="12"/>
        <item m="1" x="15"/>
        <item m="1" x="16"/>
        <item m="1" x="17"/>
        <item m="1" x="18"/>
        <item m="1" x="20"/>
        <item m="1" x="2"/>
        <item m="1" x="4"/>
        <item m="1" x="5"/>
        <item m="1" x="8"/>
        <item m="1" x="9"/>
        <item m="1" x="10"/>
        <item m="1" x="11"/>
        <item x="0"/>
        <item t="default"/>
      </items>
    </pivotField>
    <pivotField axis="axisRow" showAll="0">
      <items count="181">
        <item m="1" x="1"/>
        <item m="1" x="45"/>
        <item m="1" x="81"/>
        <item m="1" x="3"/>
        <item m="1" x="115"/>
        <item m="1" x="79"/>
        <item m="1" x="43"/>
        <item m="1" x="2"/>
        <item m="1" x="145"/>
        <item m="1" x="20"/>
        <item m="1" x="142"/>
        <item m="1" x="98"/>
        <item m="1" x="40"/>
        <item m="1" x="11"/>
        <item m="1" x="161"/>
        <item m="1" x="137"/>
        <item m="1" x="112"/>
        <item m="1" x="89"/>
        <item m="1" x="59"/>
        <item m="1" x="29"/>
        <item m="1" x="177"/>
        <item m="1" x="149"/>
        <item m="1" x="126"/>
        <item m="1" x="106"/>
        <item m="1" x="76"/>
        <item m="1" x="50"/>
        <item m="1" x="19"/>
        <item m="1" x="170"/>
        <item m="1" x="141"/>
        <item m="1" x="121"/>
        <item m="1" x="97"/>
        <item m="1" x="69"/>
        <item m="1" x="39"/>
        <item m="1" x="10"/>
        <item m="1" x="160"/>
        <item m="1" x="136"/>
        <item m="1" x="111"/>
        <item m="1" x="88"/>
        <item m="1" x="58"/>
        <item m="1" x="75"/>
        <item m="1" x="64"/>
        <item m="1" x="154"/>
        <item m="1" x="140"/>
        <item m="1" x="131"/>
        <item m="1" x="120"/>
        <item m="1" x="108"/>
        <item m="1" x="96"/>
        <item m="1" x="83"/>
        <item m="1" x="68"/>
        <item m="1" x="54"/>
        <item m="1" x="38"/>
        <item m="1" x="24"/>
        <item m="1" x="9"/>
        <item m="1" x="173"/>
        <item m="1" x="159"/>
        <item m="1" x="146"/>
        <item m="1" x="135"/>
        <item m="1" x="28"/>
        <item m="1" x="14"/>
        <item m="1" x="148"/>
        <item m="1" x="125"/>
        <item m="1" x="116"/>
        <item m="1" x="104"/>
        <item m="1" x="91"/>
        <item m="1" x="74"/>
        <item m="1" x="48"/>
        <item m="1" x="32"/>
        <item m="1" x="18"/>
        <item m="1" x="5"/>
        <item m="1" x="168"/>
        <item m="1" x="152"/>
        <item m="1" x="95"/>
        <item m="1" x="82"/>
        <item m="1" x="67"/>
        <item m="1" x="53"/>
        <item m="1" x="37"/>
        <item m="1" x="134"/>
        <item m="1" x="107"/>
        <item m="1" x="93"/>
        <item m="1" x="87"/>
        <item m="1" x="78"/>
        <item m="1" x="72"/>
        <item m="1" x="57"/>
        <item m="1" x="51"/>
        <item m="1" x="44"/>
        <item m="1" x="27"/>
        <item m="1" x="22"/>
        <item m="1" x="13"/>
        <item m="1" x="7"/>
        <item m="1" x="176"/>
        <item m="1" x="171"/>
        <item m="1" x="165"/>
        <item m="1" x="156"/>
        <item m="1" x="147"/>
        <item m="1" x="144"/>
        <item m="1" x="138"/>
        <item m="1" x="122"/>
        <item m="1" x="110"/>
        <item m="1" x="100"/>
        <item m="1" x="85"/>
        <item m="1" x="71"/>
        <item m="1" x="62"/>
        <item m="1" x="26"/>
        <item m="1" x="17"/>
        <item m="1" x="12"/>
        <item m="1" x="4"/>
        <item m="1" x="174"/>
        <item m="1" x="167"/>
        <item m="1" x="163"/>
        <item m="1" x="151"/>
        <item m="1" x="139"/>
        <item m="1" x="129"/>
        <item m="1" x="113"/>
        <item m="1" x="94"/>
        <item m="1" x="80"/>
        <item m="1" x="66"/>
        <item m="1" x="60"/>
        <item m="1" x="52"/>
        <item m="1" x="36"/>
        <item m="1" x="23"/>
        <item m="1" x="15"/>
        <item m="1" x="8"/>
        <item m="1" x="179"/>
        <item m="1" x="172"/>
        <item m="1" x="166"/>
        <item m="1" x="158"/>
        <item m="1" x="150"/>
        <item m="1" x="128"/>
        <item m="1" x="118"/>
        <item m="1" x="102"/>
        <item m="1" x="77"/>
        <item m="1" x="65"/>
        <item m="1" x="56"/>
        <item m="1" x="34"/>
        <item m="1" x="21"/>
        <item m="1" x="6"/>
        <item m="1" x="175"/>
        <item m="1" x="155"/>
        <item m="1" x="143"/>
        <item m="1" x="132"/>
        <item m="1" x="109"/>
        <item m="1" x="103"/>
        <item m="1" x="99"/>
        <item m="1" x="90"/>
        <item m="1" x="84"/>
        <item m="1" x="73"/>
        <item m="1" x="70"/>
        <item m="1" x="61"/>
        <item m="1" x="55"/>
        <item m="1" x="47"/>
        <item m="1" x="41"/>
        <item m="1" x="31"/>
        <item m="1" x="25"/>
        <item m="1" x="16"/>
        <item m="1" x="162"/>
        <item m="1" x="105"/>
        <item m="1" x="101"/>
        <item m="1" x="92"/>
        <item m="1" x="86"/>
        <item m="1" x="63"/>
        <item m="1" x="49"/>
        <item m="1" x="46"/>
        <item m="1" x="42"/>
        <item m="1" x="35"/>
        <item m="1" x="33"/>
        <item m="1" x="30"/>
        <item m="1" x="178"/>
        <item m="1" x="169"/>
        <item m="1" x="164"/>
        <item m="1" x="157"/>
        <item m="1" x="153"/>
        <item m="1" x="133"/>
        <item m="1" x="130"/>
        <item m="1" x="127"/>
        <item m="1" x="124"/>
        <item m="1" x="123"/>
        <item m="1" x="119"/>
        <item m="1" x="117"/>
        <item m="1" x="114"/>
        <item x="0"/>
        <item t="default"/>
      </items>
    </pivotField>
    <pivotField axis="axisPage" showAll="0">
      <items count="3">
        <item m="1" x="1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1"/>
  </rowFields>
  <rowItems count="2">
    <i>
      <x v="179"/>
    </i>
    <i t="grand">
      <x/>
    </i>
  </rowItems>
  <colItems count="1">
    <i/>
  </colItems>
  <pageFields count="2">
    <pageField fld="2" hier="-1"/>
    <pageField fld="0" item="20" hier="-1"/>
  </pageFields>
  <dataFields count="1">
    <dataField name="Sum of vm_pu" fld="6" baseField="0" baseItem="0"/>
  </dataFields>
  <chartFormats count="1"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55F9DC-37CB-47F0-B4F3-F72BD8052F60}" name="PivotTable2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D6" firstHeaderRow="0" firstDataRow="1" firstDataCol="1" rowPageCount="1" colPageCount="1"/>
  <pivotFields count="19">
    <pivotField axis="axisRow" showAll="0">
      <items count="22">
        <item m="1" x="1"/>
        <item m="1" x="13"/>
        <item m="1" x="6"/>
        <item m="1" x="14"/>
        <item m="1" x="19"/>
        <item m="1" x="3"/>
        <item m="1" x="7"/>
        <item m="1" x="12"/>
        <item m="1" x="15"/>
        <item m="1" x="16"/>
        <item m="1" x="17"/>
        <item m="1" x="18"/>
        <item m="1" x="20"/>
        <item m="1" x="2"/>
        <item m="1" x="4"/>
        <item m="1" x="5"/>
        <item m="1" x="8"/>
        <item m="1" x="9"/>
        <item m="1" x="10"/>
        <item m="1" x="11"/>
        <item x="0"/>
        <item t="default"/>
      </items>
    </pivotField>
    <pivotField showAll="0"/>
    <pivotField axis="axisPage" showAll="0">
      <items count="3">
        <item m="1"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">
    <i>
      <x v="2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2" hier="-1"/>
  </pageFields>
  <dataFields count="3">
    <dataField name="Max of loading_percent" fld="18" subtotal="max" baseField="1" baseItem="92"/>
    <dataField name="Min of loading_percent" fld="18" subtotal="min" baseField="9" baseItem="0"/>
    <dataField name="Average of loading_percent" fld="18" subtotal="average" baseField="9" baseItem="0"/>
  </dataFields>
  <chartFormats count="3">
    <chartFormat chart="2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55B23C-FD8E-4E6A-A59C-4B61FE77A955}" name="PivotTable3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5:C8" firstHeaderRow="1" firstDataRow="2" firstDataCol="1"/>
  <pivotFields count="19">
    <pivotField axis="axisRow" showAll="0">
      <items count="22">
        <item m="1" x="1"/>
        <item m="1" x="13"/>
        <item m="1" x="6"/>
        <item m="1" x="14"/>
        <item m="1" x="19"/>
        <item m="1" x="3"/>
        <item m="1" x="7"/>
        <item m="1" x="12"/>
        <item m="1" x="15"/>
        <item m="1" x="16"/>
        <item m="1" x="17"/>
        <item m="1" x="18"/>
        <item m="1" x="20"/>
        <item m="1" x="2"/>
        <item m="1" x="4"/>
        <item m="1" x="5"/>
        <item m="1" x="8"/>
        <item m="1" x="9"/>
        <item m="1" x="10"/>
        <item m="1" x="11"/>
        <item x="0"/>
        <item t="default"/>
      </items>
    </pivotField>
    <pivotField showAll="0"/>
    <pivotField axis="axisCol" showAll="0">
      <items count="3">
        <item m="1"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2">
    <i>
      <x v="20"/>
    </i>
    <i t="grand">
      <x/>
    </i>
  </rowItems>
  <colFields count="1">
    <field x="2"/>
  </colFields>
  <colItems count="2">
    <i>
      <x v="1"/>
    </i>
    <i t="grand">
      <x/>
    </i>
  </colItems>
  <dataFields count="1">
    <dataField name="Sum of pl_mw" fld="16" baseField="0" baseItem="0"/>
  </dataFields>
  <chartFormats count="1">
    <chartFormat chart="2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398D4C-5F6B-4522-BA5E-E1D6A2C8E57C}" name="PivotTable2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D6" firstHeaderRow="0" firstDataRow="1" firstDataCol="1" rowPageCount="1" colPageCount="1"/>
  <pivotFields count="21">
    <pivotField axis="axisRow" showAll="0">
      <items count="22">
        <item m="1" x="1"/>
        <item m="1" x="13"/>
        <item m="1" x="6"/>
        <item m="1" x="14"/>
        <item m="1" x="19"/>
        <item m="1" x="3"/>
        <item m="1" x="7"/>
        <item m="1" x="12"/>
        <item m="1" x="15"/>
        <item m="1" x="16"/>
        <item m="1" x="17"/>
        <item m="1" x="18"/>
        <item m="1" x="20"/>
        <item m="1" x="2"/>
        <item m="1" x="4"/>
        <item m="1" x="5"/>
        <item m="1" x="8"/>
        <item m="1" x="9"/>
        <item m="1" x="10"/>
        <item m="1" x="11"/>
        <item x="0"/>
        <item t="default"/>
      </items>
    </pivotField>
    <pivotField showAll="0"/>
    <pivotField axis="axisPage" showAll="0">
      <items count="3">
        <item m="1"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">
    <i>
      <x v="2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2" item="1" hier="-1"/>
  </pageFields>
  <dataFields count="3">
    <dataField name="Max of loading_percent" fld="20" subtotal="max" baseField="9" baseItem="0"/>
    <dataField name="Min of loading_percent" fld="20" subtotal="min" baseField="0" baseItem="1"/>
    <dataField name="Average of loading_percent" fld="20" subtotal="average" baseField="0" baseItem="1"/>
  </dataFields>
  <chartFormats count="3">
    <chartFormat chart="2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08EC76-DC1C-41DF-82D6-01E11FB7277F}" name="PivotTable1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B6" firstHeaderRow="1" firstDataRow="2" firstDataCol="1"/>
  <pivotFields count="21">
    <pivotField axis="axisRow" showAll="0">
      <items count="22">
        <item m="1" x="1"/>
        <item m="1" x="13"/>
        <item m="1" x="6"/>
        <item m="1" x="14"/>
        <item m="1" x="19"/>
        <item m="1" x="3"/>
        <item m="1" x="7"/>
        <item m="1" x="12"/>
        <item m="1" x="15"/>
        <item m="1" x="16"/>
        <item m="1" x="17"/>
        <item m="1" x="18"/>
        <item m="1" x="20"/>
        <item m="1" x="2"/>
        <item m="1" x="4"/>
        <item m="1" x="5"/>
        <item m="1" x="8"/>
        <item m="1" x="9"/>
        <item m="1" x="10"/>
        <item m="1" x="11"/>
        <item x="0"/>
        <item t="default"/>
      </items>
    </pivotField>
    <pivotField showAll="0"/>
    <pivotField axis="axisCol" showAll="0">
      <items count="3">
        <item m="1" x="1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1">
    <i t="grand">
      <x/>
    </i>
  </rowItems>
  <colFields count="1">
    <field x="2"/>
  </colFields>
  <colItems count="1">
    <i t="grand">
      <x/>
    </i>
  </colItems>
  <dataFields count="1">
    <dataField name="Sum of pl_mw" fld="18" baseField="0" baseItem="0"/>
  </dataFields>
  <chartFormats count="2">
    <chartFormat chart="2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0524AC-4D0C-4F6F-A520-5F2E811A4CE7}" name="Demand" displayName="Demand" ref="C4:K5" insertRow="1" totalsRowShown="0" headerRowDxfId="46">
  <autoFilter ref="C4:K5" xr:uid="{F70524AC-4D0C-4F6F-A520-5F2E811A4CE7}"/>
  <tableColumns count="9">
    <tableColumn id="8" xr3:uid="{F2EDA2BF-F8AF-4203-B2F3-7B905739D61D}" name="step"/>
    <tableColumn id="2" xr3:uid="{B772E291-FFCF-435F-BA86-441C27B45317}" name="index"/>
    <tableColumn id="6" xr3:uid="{F34866B0-8C59-4E6A-971A-410FD72E665F}" name="scenario"/>
    <tableColumn id="9" xr3:uid="{FF71EFE4-42BF-419B-90C7-B2A6B8AF3B26}" name="name"/>
    <tableColumn id="7" xr3:uid="{51FA998E-794F-4903-8982-6AB87FDFE77A}" name="zone"/>
    <tableColumn id="3" xr3:uid="{6C6B97D0-7EF6-44F8-8BAB-29DB21730B68}" name="bus"/>
    <tableColumn id="4" xr3:uid="{9F72CD68-B40A-4A8D-B4B7-43E4B2AD837F}" name="in_service"/>
    <tableColumn id="1" xr3:uid="{4BA7201C-B163-4D52-A081-7565D1A6567D}" name="p_mw"/>
    <tableColumn id="5" xr3:uid="{75B471B4-A0A7-4436-9F33-431221CACB81}" name="q_mvar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ACD7C8-06B8-4AD2-9918-9A9EC5FBCE6A}" name="Generation" displayName="Generation" ref="C4:R5" insertRow="1" totalsRowShown="0" headerRowDxfId="45">
  <autoFilter ref="C4:R5" xr:uid="{40ACD7C8-06B8-4AD2-9918-9A9EC5FBCE6A}"/>
  <tableColumns count="16">
    <tableColumn id="16" xr3:uid="{FD185B91-B49F-4E9A-9642-5A784F589DF7}" name="Step"/>
    <tableColumn id="12" xr3:uid="{E4E850D8-E7A0-480C-818B-F24B641F7A3C}" name="index" dataDxfId="44"/>
    <tableColumn id="13" xr3:uid="{CE11B4F1-069D-41C5-B837-20DBEE65490C}" name="scenario" dataDxfId="1"/>
    <tableColumn id="1" xr3:uid="{1D308122-CF3C-45A3-A0E8-6BFFBF1E2E0A}" name="zone"/>
    <tableColumn id="2" xr3:uid="{7F7D4208-FA89-433B-8D20-8B82046C31BF}" name="name"/>
    <tableColumn id="14" xr3:uid="{BFB11B01-34E2-4E2E-89F2-B4A22EF85F4E}" name="type"/>
    <tableColumn id="15" xr3:uid="{8AB767E0-F162-4365-88BE-6017F79A4662}" name="bus"/>
    <tableColumn id="7" xr3:uid="{603585BA-20E7-4255-A8F3-8034E5940696}" name="in_service"/>
    <tableColumn id="3" xr3:uid="{37122E40-ED5E-4D80-93E0-256882715872}" name="fuel"/>
    <tableColumn id="4" xr3:uid="{D8956929-3F41-4D51-BE4F-2774341E552B}" name="vm_pu"/>
    <tableColumn id="5" xr3:uid="{A425E759-2D69-4D84-A148-E76C43AF6FA4}" name="max_p_mw"/>
    <tableColumn id="6" xr3:uid="{6F6664F2-9163-460C-8A58-072E5EF9D107}" name="max_q_mw"/>
    <tableColumn id="8" xr3:uid="{9F1EE02A-F9F1-4A32-8060-35B395A80221}" name="min_p_mw"/>
    <tableColumn id="9" xr3:uid="{5D1D5079-A3F5-4BCC-AC85-2C99B8353583}" name="min_q_mvar"/>
    <tableColumn id="10" xr3:uid="{81510E49-FAD2-4E19-910E-92EA6DE45564}" name="p_mw "/>
    <tableColumn id="11" xr3:uid="{1E60D8A6-4081-4E86-8EBE-BD2051C72844}" name="q_mvar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9E76C2C-375C-47C1-A9AD-8417B088B6FC}" name="Buses" displayName="Buses" ref="C4:M5" insertRow="1" totalsRowShown="0">
  <autoFilter ref="C4:M5" xr:uid="{99E76C2C-375C-47C1-A9AD-8417B088B6FC}"/>
  <tableColumns count="11">
    <tableColumn id="10" xr3:uid="{4B4D838B-4D4B-4447-AA54-623C16D775A5}" name="step"/>
    <tableColumn id="1" xr3:uid="{8D5D3D19-C9FB-4B3C-9A8E-18DDDD81AA15}" name="index"/>
    <tableColumn id="11" xr3:uid="{AA18DDFC-F29B-405C-B46F-6B0211BCD99C}" name="scenario"/>
    <tableColumn id="2" xr3:uid="{3244D43A-F10E-4F78-A09B-57897246BB52}" name="zone"/>
    <tableColumn id="3" xr3:uid="{5EDAC410-257E-44EA-9971-35109AF46BCE}" name="name"/>
    <tableColumn id="4" xr3:uid="{3BF104E3-A830-40EC-A511-F013E919C2F8}" name="vn_kv"/>
    <tableColumn id="5" xr3:uid="{BD0F4BDD-012D-46A6-BBBD-5EFF4DD90846}" name="in_service"/>
    <tableColumn id="6" xr3:uid="{023E00F8-310E-4EA9-974D-D0DE79DD2C16}" name="vm_pu"/>
    <tableColumn id="7" xr3:uid="{603776BD-14E0-4986-BF52-DEE30506D295}" name="va_degree"/>
    <tableColumn id="8" xr3:uid="{D39259F2-EC0F-41AC-BC8E-F99C4C810B73}" name="p_mw"/>
    <tableColumn id="9" xr3:uid="{4AFB9204-6B8E-44A1-8DF2-59B09068BDBC}" name="q_mvar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E8232FA-505B-4CE4-B934-04B27D52E9CB}" name="Lines" displayName="Lines" ref="C4:V5" insertRow="1" totalsRowShown="0">
  <autoFilter ref="C4:V5" xr:uid="{EE8232FA-505B-4CE4-B934-04B27D52E9CB}"/>
  <tableColumns count="20">
    <tableColumn id="19" xr3:uid="{54142960-63F9-4F3B-9473-5E4553BD8277}" name="step"/>
    <tableColumn id="1" xr3:uid="{F4CA92FE-BBA3-4697-B61E-D4DD00F4DDB7}" name="index"/>
    <tableColumn id="20" xr3:uid="{87DA94BF-43EF-4808-94B8-93F23E19E180}" name="scenario"/>
    <tableColumn id="14" xr3:uid="{01DBCA48-C0A3-4755-A24E-33F8BA6D787C}" name="zone"/>
    <tableColumn id="3" xr3:uid="{739EFFA8-D4EB-4D34-9C9C-F380FD25C900}" name="name"/>
    <tableColumn id="4" xr3:uid="{C1F8F53E-C4FA-43A7-8032-1BA1F8B8894E}" name="from_bus"/>
    <tableColumn id="5" xr3:uid="{177C481B-5352-406F-B7DF-6194A493A40A}" name="to_bus"/>
    <tableColumn id="6" xr3:uid="{88DEA9F9-8221-4743-A5EF-FB45CDB211E6}" name="in_service"/>
    <tableColumn id="8" xr3:uid="{2C394185-CB11-4891-8C5C-3F13F7A49AAC}" name="length_km"/>
    <tableColumn id="9" xr3:uid="{0F6845A4-FD06-402E-982E-C3F453C61916}" name="max_i_ka"/>
    <tableColumn id="10" xr3:uid="{767E43C9-6752-4023-9B86-F42E1ACE5C13}" name="max_loading_percent"/>
    <tableColumn id="11" xr3:uid="{98BCDFDE-9C3C-44CD-B6F2-B11F2761FAB0}" name="parallel"/>
    <tableColumn id="12" xr3:uid="{60F54634-7F0D-4289-AFAB-F67BB199A0E1}" name="std_type"/>
    <tableColumn id="13" xr3:uid="{AD4ADF57-4C5F-45F4-B5DD-3EDBDB4B7C3C}" name="p_from_mw"/>
    <tableColumn id="2" xr3:uid="{BDA4492C-3447-4FB7-BD20-F46FD6AD2E3A}" name="q_from_mvar"/>
    <tableColumn id="7" xr3:uid="{58BAFFD4-7E62-42C3-BF39-976808A12BD4}" name="p_to_mw"/>
    <tableColumn id="15" xr3:uid="{347D2202-68C8-40E3-8187-DDD1FD6515A5}" name="q_to_mvar"/>
    <tableColumn id="16" xr3:uid="{583273CD-73AF-4D6F-852A-003096CDB2A7}" name="pl_mw"/>
    <tableColumn id="17" xr3:uid="{E0F7E845-ECB3-462D-8172-42E1433228A3}" name="ql_mvar"/>
    <tableColumn id="18" xr3:uid="{0BE6F701-5460-4E4C-AFF3-1C3DCF2CD953}" name="loading_percent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A6D9FFD-CCDD-4F93-B041-EED5046675B6}" name="Trafos" displayName="Trafos" ref="C4:X5" insertRow="1" totalsRowShown="0" headerRowDxfId="43" dataDxfId="42">
  <autoFilter ref="C4:X5" xr:uid="{4A6D9FFD-CCDD-4F93-B041-EED5046675B6}"/>
  <tableColumns count="22">
    <tableColumn id="20" xr3:uid="{C4E1602D-7141-40CE-B787-D81D4476E1AB}" name="step"/>
    <tableColumn id="1" xr3:uid="{FB053CC0-0CFB-40BF-9A87-324F3ABE29A7}" name="index" dataDxfId="41" totalsRowDxfId="40"/>
    <tableColumn id="21" xr3:uid="{956DD5C8-C357-4B29-89FA-32F2E10CF7BC}" name="scenario" totalsRowDxfId="0"/>
    <tableColumn id="14" xr3:uid="{443B4109-D1B2-4010-B9ED-C161E6AFF1A8}" name="zone" dataDxfId="39" totalsRowDxfId="38"/>
    <tableColumn id="3" xr3:uid="{AED4F457-E25A-4D1D-B00F-34A4978C0F78}" name="name" dataDxfId="37" totalsRowDxfId="36"/>
    <tableColumn id="4" xr3:uid="{3C3AC128-75C3-4223-BACC-1A360EDFCDE5}" name="std_type" dataDxfId="35" totalsRowDxfId="34"/>
    <tableColumn id="5" xr3:uid="{5C767913-1D80-45C8-8C6F-7E57D189AF44}" name="hv_bus" dataDxfId="33" totalsRowDxfId="32"/>
    <tableColumn id="6" xr3:uid="{917BEB67-D7C1-4A83-96A1-F319E5A05A44}" name="lv_bus" dataDxfId="31" totalsRowDxfId="30"/>
    <tableColumn id="8" xr3:uid="{8DCB1719-ACB3-4AED-86BD-D9B68732C278}" name="vn_hv_kv" dataDxfId="29" totalsRowDxfId="28"/>
    <tableColumn id="10" xr3:uid="{62D607C6-83CF-455F-8C23-39C4B984D758}" name="vn_lv_kv" dataDxfId="27" totalsRowDxfId="26"/>
    <tableColumn id="11" xr3:uid="{D6AEC090-00BF-4CF1-ACD8-524B252EC663}" name="pfe_kw" dataDxfId="25" totalsRowDxfId="24"/>
    <tableColumn id="12" xr3:uid="{3AF3ADA4-4F57-412A-9FE8-F645C3508885}" name="shift_degree" dataDxfId="23" totalsRowDxfId="22"/>
    <tableColumn id="13" xr3:uid="{E46757C4-CE46-491E-86BE-E8A4317E6E93}" name="tap_pos" dataDxfId="21" totalsRowDxfId="20"/>
    <tableColumn id="2" xr3:uid="{C6F54DD4-2C44-4DE0-92C5-B5397E16B87A}" name="parallel" dataDxfId="19" totalsRowDxfId="18"/>
    <tableColumn id="7" xr3:uid="{60E8F0ED-D51D-42AE-B712-6D061F8D1EE0}" name="in_service" dataDxfId="17" totalsRowDxfId="16"/>
    <tableColumn id="15" xr3:uid="{3A4390BD-6B26-46A1-AE40-6398D8A806F9}" name="p_hv_mw" dataDxfId="15" totalsRowDxfId="14"/>
    <tableColumn id="16" xr3:uid="{4DD91469-F741-4D3D-948E-6556783D042C}" name="q_hv_mvar" dataDxfId="13" totalsRowDxfId="12"/>
    <tableColumn id="17" xr3:uid="{858B54E5-9CFB-4B90-84AA-07C4A8CDC8F1}" name="p_lv_mw" dataDxfId="11" totalsRowDxfId="10"/>
    <tableColumn id="18" xr3:uid="{C86231DF-FF48-47D3-A51C-74FBA23B5E0B}" name="q_lv_mvar" dataDxfId="9" totalsRowDxfId="8"/>
    <tableColumn id="23" xr3:uid="{AC6F6CA0-E489-43EB-B5EB-B1BB000C2711}" name="pl_mw" dataDxfId="7" totalsRowDxfId="6"/>
    <tableColumn id="9" xr3:uid="{0C63F6CB-B4E0-4E09-BBD7-2629F424B3EF}" name="ql_mvar" dataDxfId="5" totalsRowDxfId="4"/>
    <tableColumn id="19" xr3:uid="{2658E29B-D78D-496B-A082-3304FA22AB36}" name="loading_percent" dataDxfId="3" totalsRowDxfId="2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B7531-FB9D-4A11-8F8E-0B25BAB0D225}">
  <sheetPr codeName="Sheet1"/>
  <dimension ref="A1"/>
  <sheetViews>
    <sheetView workbookViewId="0">
      <selection activeCell="D23" sqref="D23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ashborad_create">
                <anchor moveWithCells="1" sizeWithCells="1">
                  <from>
                    <xdr:col>1</xdr:col>
                    <xdr:colOff>0</xdr:colOff>
                    <xdr:row>5</xdr:row>
                    <xdr:rowOff>19050</xdr:rowOff>
                  </from>
                  <to>
                    <xdr:col>5</xdr:col>
                    <xdr:colOff>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sheets_unhide">
                <anchor moveWithCells="1" sizeWithCells="1">
                  <from>
                    <xdr:col>1</xdr:col>
                    <xdr:colOff>19050</xdr:colOff>
                    <xdr:row>9</xdr:row>
                    <xdr:rowOff>9525</xdr:rowOff>
                  </from>
                  <to>
                    <xdr:col>4</xdr:col>
                    <xdr:colOff>581025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sheets_hide">
                <anchor moveWithCells="1" sizeWithCells="1">
                  <from>
                    <xdr:col>1</xdr:col>
                    <xdr:colOff>19050</xdr:colOff>
                    <xdr:row>11</xdr:row>
                    <xdr:rowOff>19050</xdr:rowOff>
                  </from>
                  <to>
                    <xdr:col>4</xdr:col>
                    <xdr:colOff>571500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5AB1B-76EC-4323-8F51-232F31293F22}">
  <sheetPr codeName="Sheet2"/>
  <dimension ref="A1"/>
  <sheetViews>
    <sheetView showGridLines="0" showRowColHeaders="0" topLeftCell="A55" zoomScaleNormal="100" workbookViewId="0">
      <selection activeCell="F111" sqref="F111"/>
    </sheetView>
  </sheetViews>
  <sheetFormatPr defaultRowHeight="15" x14ac:dyDescent="0.25"/>
  <cols>
    <col min="1" max="1" width="1.5703125" customWidth="1"/>
    <col min="2" max="2" width="12" customWidth="1"/>
  </cols>
  <sheetData>
    <row r="1" ht="6.75" customHeight="1" x14ac:dyDescent="0.25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D41E1-2FA2-4914-83AD-C4B4C0863017}">
  <sheetPr codeName="Sheet3"/>
  <dimension ref="B2:K6"/>
  <sheetViews>
    <sheetView workbookViewId="0">
      <selection activeCell="F5" sqref="F5"/>
    </sheetView>
  </sheetViews>
  <sheetFormatPr defaultRowHeight="15" x14ac:dyDescent="0.25"/>
  <cols>
    <col min="2" max="2" width="12.7109375" customWidth="1"/>
    <col min="3" max="3" width="9" bestFit="1" customWidth="1"/>
    <col min="4" max="4" width="10" bestFit="1" customWidth="1"/>
    <col min="5" max="6" width="10" customWidth="1"/>
    <col min="7" max="7" width="9.42578125" bestFit="1" customWidth="1"/>
    <col min="8" max="8" width="9.140625" bestFit="1" customWidth="1"/>
    <col min="9" max="9" width="13.7109375" bestFit="1" customWidth="1"/>
    <col min="10" max="10" width="12" bestFit="1" customWidth="1"/>
    <col min="11" max="11" width="14" bestFit="1" customWidth="1"/>
  </cols>
  <sheetData>
    <row r="2" spans="2:11" ht="21" x14ac:dyDescent="0.25">
      <c r="C2" s="15" t="s">
        <v>8</v>
      </c>
      <c r="D2" s="15"/>
      <c r="E2" s="15"/>
      <c r="F2" s="15"/>
      <c r="G2" s="15"/>
      <c r="H2" s="15"/>
      <c r="I2" s="15"/>
      <c r="J2" s="15"/>
      <c r="K2" s="15"/>
    </row>
    <row r="3" spans="2:11" ht="45.75" thickBot="1" x14ac:dyDescent="0.3">
      <c r="B3" s="9" t="s">
        <v>50</v>
      </c>
      <c r="C3" s="11" t="s">
        <v>30</v>
      </c>
      <c r="D3" s="11" t="s">
        <v>11</v>
      </c>
      <c r="E3" s="11" t="s">
        <v>117</v>
      </c>
      <c r="F3" s="11" t="s">
        <v>1</v>
      </c>
      <c r="G3" s="11" t="s">
        <v>0</v>
      </c>
      <c r="H3" s="11" t="s">
        <v>9</v>
      </c>
      <c r="I3" s="11" t="s">
        <v>10</v>
      </c>
      <c r="J3" s="11" t="s">
        <v>4</v>
      </c>
      <c r="K3" s="11" t="s">
        <v>5</v>
      </c>
    </row>
    <row r="4" spans="2:11" ht="30.75" thickBot="1" x14ac:dyDescent="0.3">
      <c r="B4" s="9" t="s">
        <v>49</v>
      </c>
      <c r="C4" s="3" t="s">
        <v>53</v>
      </c>
      <c r="D4" s="12" t="s">
        <v>54</v>
      </c>
      <c r="E4" s="12" t="s">
        <v>118</v>
      </c>
      <c r="F4" s="12" t="s">
        <v>56</v>
      </c>
      <c r="G4" s="12" t="s">
        <v>55</v>
      </c>
      <c r="H4" s="12" t="s">
        <v>88</v>
      </c>
      <c r="I4" s="12" t="s">
        <v>59</v>
      </c>
      <c r="J4" s="12" t="s">
        <v>86</v>
      </c>
      <c r="K4" s="12" t="s">
        <v>87</v>
      </c>
    </row>
    <row r="5" spans="2:11" x14ac:dyDescent="0.25">
      <c r="B5" s="9"/>
      <c r="C5" s="4"/>
    </row>
    <row r="6" spans="2:11" x14ac:dyDescent="0.25">
      <c r="C6" s="5"/>
    </row>
  </sheetData>
  <mergeCells count="1">
    <mergeCell ref="C2:K2"/>
  </mergeCells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4C8A0-9BCD-4A69-9D2D-A89F2DD1235A}">
  <sheetPr codeName="Sheet4"/>
  <dimension ref="B2:R6"/>
  <sheetViews>
    <sheetView workbookViewId="0">
      <selection activeCell="K15" sqref="K15"/>
    </sheetView>
  </sheetViews>
  <sheetFormatPr defaultRowHeight="15" x14ac:dyDescent="0.25"/>
  <cols>
    <col min="1" max="1" width="6" customWidth="1"/>
    <col min="2" max="2" width="11.7109375" bestFit="1" customWidth="1"/>
    <col min="4" max="5" width="11.140625" customWidth="1"/>
    <col min="6" max="6" width="10.5703125" bestFit="1" customWidth="1"/>
    <col min="7" max="7" width="10" bestFit="1" customWidth="1"/>
    <col min="8" max="9" width="10" customWidth="1"/>
    <col min="10" max="10" width="11.42578125" customWidth="1"/>
    <col min="11" max="11" width="10.85546875" bestFit="1" customWidth="1"/>
    <col min="12" max="12" width="12.42578125" bestFit="1" customWidth="1"/>
    <col min="13" max="13" width="12" bestFit="1" customWidth="1"/>
    <col min="14" max="14" width="12.42578125" bestFit="1" customWidth="1"/>
    <col min="15" max="15" width="15.28515625" customWidth="1"/>
    <col min="16" max="16" width="14.140625" customWidth="1"/>
    <col min="17" max="18" width="14.85546875" customWidth="1"/>
  </cols>
  <sheetData>
    <row r="2" spans="2:18" ht="21" x14ac:dyDescent="0.25">
      <c r="C2" s="15" t="s">
        <v>44</v>
      </c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</row>
    <row r="3" spans="2:18" ht="60.75" thickBot="1" x14ac:dyDescent="0.3">
      <c r="B3" s="9" t="s">
        <v>50</v>
      </c>
      <c r="C3" s="3" t="s">
        <v>30</v>
      </c>
      <c r="D3" s="6" t="s">
        <v>16</v>
      </c>
      <c r="E3" s="6" t="s">
        <v>117</v>
      </c>
      <c r="F3" s="6" t="s">
        <v>0</v>
      </c>
      <c r="G3" s="6" t="s">
        <v>1</v>
      </c>
      <c r="H3" s="17" t="s">
        <v>108</v>
      </c>
      <c r="I3" s="6" t="s">
        <v>9</v>
      </c>
      <c r="J3" s="6" t="s">
        <v>2</v>
      </c>
      <c r="K3" s="6" t="s">
        <v>105</v>
      </c>
      <c r="L3" s="6" t="s">
        <v>106</v>
      </c>
      <c r="M3" s="6" t="s">
        <v>12</v>
      </c>
      <c r="N3" s="6" t="s">
        <v>13</v>
      </c>
      <c r="O3" s="6" t="s">
        <v>15</v>
      </c>
      <c r="P3" s="6" t="s">
        <v>14</v>
      </c>
      <c r="Q3" s="6" t="s">
        <v>17</v>
      </c>
      <c r="R3" s="6" t="s">
        <v>18</v>
      </c>
    </row>
    <row r="4" spans="2:18" s="12" customFormat="1" ht="30" x14ac:dyDescent="0.25">
      <c r="B4" s="6" t="s">
        <v>49</v>
      </c>
      <c r="C4" s="12" t="s">
        <v>31</v>
      </c>
      <c r="D4" s="12" t="s">
        <v>54</v>
      </c>
      <c r="E4" s="12" t="s">
        <v>118</v>
      </c>
      <c r="F4" s="12" t="s">
        <v>55</v>
      </c>
      <c r="G4" s="12" t="s">
        <v>56</v>
      </c>
      <c r="H4" s="12" t="s">
        <v>107</v>
      </c>
      <c r="I4" s="12" t="s">
        <v>88</v>
      </c>
      <c r="J4" s="12" t="s">
        <v>59</v>
      </c>
      <c r="K4" s="12" t="s">
        <v>99</v>
      </c>
      <c r="L4" s="12" t="s">
        <v>84</v>
      </c>
      <c r="M4" s="12" t="s">
        <v>100</v>
      </c>
      <c r="N4" s="12" t="s">
        <v>101</v>
      </c>
      <c r="O4" s="12" t="s">
        <v>102</v>
      </c>
      <c r="P4" s="12" t="s">
        <v>103</v>
      </c>
      <c r="Q4" s="12" t="s">
        <v>104</v>
      </c>
      <c r="R4" s="12" t="s">
        <v>87</v>
      </c>
    </row>
    <row r="5" spans="2:18" x14ac:dyDescent="0.25">
      <c r="B5" s="9"/>
      <c r="C5" s="4"/>
      <c r="D5" s="14"/>
      <c r="E5" s="14"/>
    </row>
    <row r="6" spans="2:18" x14ac:dyDescent="0.25">
      <c r="C6" s="5"/>
    </row>
  </sheetData>
  <mergeCells count="1">
    <mergeCell ref="C2:R2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21B50-6F1F-4D62-BA59-D66917AA062E}">
  <sheetPr codeName="Sheet7"/>
  <dimension ref="B1:M6"/>
  <sheetViews>
    <sheetView workbookViewId="0">
      <selection activeCell="F11" sqref="F11"/>
    </sheetView>
  </sheetViews>
  <sheetFormatPr defaultRowHeight="15" x14ac:dyDescent="0.25"/>
  <cols>
    <col min="1" max="1" width="5" customWidth="1"/>
    <col min="2" max="2" width="11.7109375" bestFit="1" customWidth="1"/>
    <col min="3" max="3" width="9" bestFit="1" customWidth="1"/>
    <col min="4" max="4" width="10" bestFit="1" customWidth="1"/>
    <col min="5" max="5" width="10" customWidth="1"/>
    <col min="6" max="6" width="9.42578125" bestFit="1" customWidth="1"/>
    <col min="7" max="7" width="10.28515625" bestFit="1" customWidth="1"/>
    <col min="8" max="8" width="12.28515625" bestFit="1" customWidth="1"/>
    <col min="9" max="9" width="13.7109375" bestFit="1" customWidth="1"/>
    <col min="10" max="10" width="11.28515625" bestFit="1" customWidth="1"/>
    <col min="11" max="11" width="14.28515625" bestFit="1" customWidth="1"/>
    <col min="12" max="12" width="12" bestFit="1" customWidth="1"/>
    <col min="13" max="13" width="14" bestFit="1" customWidth="1"/>
  </cols>
  <sheetData>
    <row r="1" spans="2:13" ht="15.6" customHeight="1" x14ac:dyDescent="0.25"/>
    <row r="2" spans="2:13" ht="21" x14ac:dyDescent="0.25">
      <c r="C2" s="15" t="s">
        <v>29</v>
      </c>
      <c r="D2" s="15"/>
      <c r="E2" s="15"/>
      <c r="F2" s="15"/>
      <c r="G2" s="15"/>
      <c r="H2" s="15"/>
      <c r="I2" s="15"/>
      <c r="J2" s="15"/>
      <c r="K2" s="15"/>
      <c r="L2" s="15"/>
      <c r="M2" s="15"/>
    </row>
    <row r="3" spans="2:13" ht="45.75" thickBot="1" x14ac:dyDescent="0.3">
      <c r="B3" s="9" t="s">
        <v>50</v>
      </c>
      <c r="C3" s="11" t="s">
        <v>30</v>
      </c>
      <c r="D3" s="11" t="s">
        <v>9</v>
      </c>
      <c r="E3" s="11" t="s">
        <v>117</v>
      </c>
      <c r="F3" s="11" t="s">
        <v>0</v>
      </c>
      <c r="G3" s="11" t="s">
        <v>1</v>
      </c>
      <c r="H3" s="11" t="s">
        <v>6</v>
      </c>
      <c r="I3" s="11" t="s">
        <v>2</v>
      </c>
      <c r="J3" s="11" t="s">
        <v>3</v>
      </c>
      <c r="K3" s="11" t="s">
        <v>7</v>
      </c>
      <c r="L3" s="11" t="s">
        <v>4</v>
      </c>
      <c r="M3" s="11" t="s">
        <v>5</v>
      </c>
    </row>
    <row r="4" spans="2:13" s="1" customFormat="1" ht="28.9" customHeight="1" x14ac:dyDescent="0.25">
      <c r="B4" s="9" t="s">
        <v>49</v>
      </c>
      <c r="C4" s="12" t="s">
        <v>53</v>
      </c>
      <c r="D4" s="12" t="s">
        <v>54</v>
      </c>
      <c r="E4" s="12" t="s">
        <v>118</v>
      </c>
      <c r="F4" s="12" t="s">
        <v>55</v>
      </c>
      <c r="G4" s="12" t="s">
        <v>56</v>
      </c>
      <c r="H4" s="12" t="s">
        <v>83</v>
      </c>
      <c r="I4" s="12" t="s">
        <v>59</v>
      </c>
      <c r="J4" s="12" t="s">
        <v>84</v>
      </c>
      <c r="K4" s="12" t="s">
        <v>85</v>
      </c>
      <c r="L4" s="12" t="s">
        <v>86</v>
      </c>
      <c r="M4" s="12" t="s">
        <v>87</v>
      </c>
    </row>
    <row r="5" spans="2:13" x14ac:dyDescent="0.25">
      <c r="B5" s="9"/>
      <c r="C5" s="4"/>
    </row>
    <row r="6" spans="2:13" x14ac:dyDescent="0.25">
      <c r="C6" s="5"/>
    </row>
  </sheetData>
  <mergeCells count="1">
    <mergeCell ref="C2:M2"/>
  </mergeCells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B9BF1-1E58-4308-B5FF-BD4802D2FFBD}">
  <sheetPr codeName="Sheet8"/>
  <dimension ref="B2:V6"/>
  <sheetViews>
    <sheetView topLeftCell="A2" workbookViewId="0">
      <selection activeCell="G8" sqref="G8"/>
    </sheetView>
  </sheetViews>
  <sheetFormatPr defaultRowHeight="15" x14ac:dyDescent="0.25"/>
  <cols>
    <col min="1" max="1" width="5.28515625" customWidth="1"/>
    <col min="2" max="2" width="11.7109375" bestFit="1" customWidth="1"/>
    <col min="3" max="3" width="9" bestFit="1" customWidth="1"/>
    <col min="4" max="4" width="10" bestFit="1" customWidth="1"/>
    <col min="5" max="5" width="10" customWidth="1"/>
    <col min="6" max="6" width="9.42578125" bestFit="1" customWidth="1"/>
    <col min="7" max="7" width="10.28515625" bestFit="1" customWidth="1"/>
    <col min="8" max="8" width="12.7109375" bestFit="1" customWidth="1"/>
    <col min="9" max="9" width="11.28515625" bestFit="1" customWidth="1"/>
    <col min="10" max="11" width="12.7109375" bestFit="1" customWidth="1"/>
    <col min="12" max="12" width="12.42578125" bestFit="1" customWidth="1"/>
    <col min="13" max="13" width="15" bestFit="1" customWidth="1"/>
    <col min="14" max="14" width="11.5703125" bestFit="1" customWidth="1"/>
    <col min="15" max="16" width="12.7109375" bestFit="1" customWidth="1"/>
    <col min="17" max="17" width="17" bestFit="1" customWidth="1"/>
    <col min="18" max="18" width="13.42578125" bestFit="1" customWidth="1"/>
    <col min="19" max="19" width="14.7109375" bestFit="1" customWidth="1"/>
    <col min="20" max="21" width="12.28515625" bestFit="1" customWidth="1"/>
    <col min="22" max="22" width="12.7109375" bestFit="1" customWidth="1"/>
  </cols>
  <sheetData>
    <row r="2" spans="2:22" ht="21" x14ac:dyDescent="0.25">
      <c r="C2" s="15" t="s">
        <v>19</v>
      </c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</row>
    <row r="3" spans="2:22" ht="45.75" thickBot="1" x14ac:dyDescent="0.3">
      <c r="B3" s="9" t="s">
        <v>50</v>
      </c>
      <c r="C3" s="13" t="s">
        <v>31</v>
      </c>
      <c r="D3" s="13" t="s">
        <v>20</v>
      </c>
      <c r="E3" s="13" t="s">
        <v>117</v>
      </c>
      <c r="F3" s="13" t="s">
        <v>0</v>
      </c>
      <c r="G3" s="13" t="s">
        <v>89</v>
      </c>
      <c r="H3" s="13" t="s">
        <v>91</v>
      </c>
      <c r="I3" s="13" t="s">
        <v>90</v>
      </c>
      <c r="J3" s="13" t="s">
        <v>2</v>
      </c>
      <c r="K3" s="13" t="s">
        <v>21</v>
      </c>
      <c r="L3" s="13" t="s">
        <v>92</v>
      </c>
      <c r="M3" s="13" t="s">
        <v>22</v>
      </c>
      <c r="N3" s="13" t="s">
        <v>23</v>
      </c>
      <c r="O3" s="13" t="s">
        <v>24</v>
      </c>
      <c r="P3" s="13" t="s">
        <v>25</v>
      </c>
      <c r="Q3" s="13" t="s">
        <v>93</v>
      </c>
      <c r="R3" s="13" t="s">
        <v>26</v>
      </c>
      <c r="S3" s="13" t="s">
        <v>27</v>
      </c>
      <c r="T3" s="13" t="s">
        <v>94</v>
      </c>
      <c r="U3" s="13" t="s">
        <v>95</v>
      </c>
      <c r="V3" s="13" t="s">
        <v>51</v>
      </c>
    </row>
    <row r="4" spans="2:22" ht="46.5" customHeight="1" x14ac:dyDescent="0.25">
      <c r="B4" s="9" t="s">
        <v>49</v>
      </c>
      <c r="C4" s="2" t="s">
        <v>53</v>
      </c>
      <c r="D4" s="2" t="s">
        <v>54</v>
      </c>
      <c r="E4" s="2" t="s">
        <v>118</v>
      </c>
      <c r="F4" s="2" t="s">
        <v>55</v>
      </c>
      <c r="G4" s="2" t="s">
        <v>56</v>
      </c>
      <c r="H4" s="2" t="s">
        <v>57</v>
      </c>
      <c r="I4" s="2" t="s">
        <v>58</v>
      </c>
      <c r="J4" s="2" t="s">
        <v>59</v>
      </c>
      <c r="K4" s="2" t="s">
        <v>60</v>
      </c>
      <c r="L4" s="2" t="s">
        <v>61</v>
      </c>
      <c r="M4" s="2" t="s">
        <v>62</v>
      </c>
      <c r="N4" s="2" t="s">
        <v>63</v>
      </c>
      <c r="O4" s="2" t="s">
        <v>64</v>
      </c>
      <c r="P4" s="2" t="s">
        <v>65</v>
      </c>
      <c r="Q4" s="2" t="s">
        <v>66</v>
      </c>
      <c r="R4" s="2" t="s">
        <v>67</v>
      </c>
      <c r="S4" s="2" t="s">
        <v>68</v>
      </c>
      <c r="T4" s="2" t="s">
        <v>69</v>
      </c>
      <c r="U4" s="2" t="s">
        <v>70</v>
      </c>
      <c r="V4" s="2" t="s">
        <v>71</v>
      </c>
    </row>
    <row r="5" spans="2:22" x14ac:dyDescent="0.25">
      <c r="B5" s="9"/>
      <c r="C5" s="4"/>
    </row>
    <row r="6" spans="2:22" x14ac:dyDescent="0.25">
      <c r="C6" s="5"/>
    </row>
  </sheetData>
  <mergeCells count="1">
    <mergeCell ref="C2:V2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0D49D-DAF3-4516-9DAE-820245FBF0AF}">
  <sheetPr codeName="Sheet11"/>
  <dimension ref="B2:X5"/>
  <sheetViews>
    <sheetView tabSelected="1" topLeftCell="B1" workbookViewId="0">
      <selection activeCell="E5" sqref="E5"/>
    </sheetView>
  </sheetViews>
  <sheetFormatPr defaultRowHeight="15" x14ac:dyDescent="0.25"/>
  <cols>
    <col min="1" max="1" width="3.7109375" customWidth="1"/>
    <col min="2" max="2" width="11.7109375" bestFit="1" customWidth="1"/>
    <col min="7" max="7" width="9" customWidth="1"/>
    <col min="12" max="12" width="11.28515625" customWidth="1"/>
    <col min="13" max="13" width="9.7109375" customWidth="1"/>
    <col min="14" max="14" width="10.7109375" customWidth="1"/>
  </cols>
  <sheetData>
    <row r="2" spans="2:24" ht="21" x14ac:dyDescent="0.25">
      <c r="C2" s="15" t="s">
        <v>28</v>
      </c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</row>
    <row r="3" spans="2:24" ht="60.75" thickBot="1" x14ac:dyDescent="0.3">
      <c r="B3" s="9" t="s">
        <v>50</v>
      </c>
      <c r="C3" s="11" t="s">
        <v>30</v>
      </c>
      <c r="D3" s="11" t="s">
        <v>32</v>
      </c>
      <c r="E3" s="11" t="s">
        <v>117</v>
      </c>
      <c r="F3" s="11" t="s">
        <v>0</v>
      </c>
      <c r="G3" s="11" t="s">
        <v>1</v>
      </c>
      <c r="H3" s="11" t="s">
        <v>34</v>
      </c>
      <c r="I3" s="11" t="s">
        <v>96</v>
      </c>
      <c r="J3" s="11" t="s">
        <v>97</v>
      </c>
      <c r="K3" s="11" t="s">
        <v>35</v>
      </c>
      <c r="L3" s="11" t="s">
        <v>36</v>
      </c>
      <c r="M3" s="11" t="s">
        <v>37</v>
      </c>
      <c r="N3" s="11" t="s">
        <v>38</v>
      </c>
      <c r="O3" s="11" t="s">
        <v>39</v>
      </c>
      <c r="P3" s="11" t="s">
        <v>33</v>
      </c>
      <c r="Q3" s="11" t="s">
        <v>2</v>
      </c>
      <c r="R3" s="11" t="s">
        <v>40</v>
      </c>
      <c r="S3" s="11" t="s">
        <v>41</v>
      </c>
      <c r="T3" s="11" t="s">
        <v>42</v>
      </c>
      <c r="U3" s="11" t="s">
        <v>43</v>
      </c>
      <c r="V3" s="11" t="s">
        <v>94</v>
      </c>
      <c r="W3" s="11" t="s">
        <v>98</v>
      </c>
      <c r="X3" s="11" t="s">
        <v>52</v>
      </c>
    </row>
    <row r="4" spans="2:24" ht="30" x14ac:dyDescent="0.25">
      <c r="B4" s="9" t="s">
        <v>49</v>
      </c>
      <c r="C4" s="12" t="s">
        <v>53</v>
      </c>
      <c r="D4" s="12" t="s">
        <v>54</v>
      </c>
      <c r="E4" s="12" t="s">
        <v>118</v>
      </c>
      <c r="F4" s="12" t="s">
        <v>55</v>
      </c>
      <c r="G4" s="12" t="s">
        <v>56</v>
      </c>
      <c r="H4" s="12" t="s">
        <v>64</v>
      </c>
      <c r="I4" s="12" t="s">
        <v>72</v>
      </c>
      <c r="J4" s="12" t="s">
        <v>73</v>
      </c>
      <c r="K4" s="12" t="s">
        <v>74</v>
      </c>
      <c r="L4" s="12" t="s">
        <v>75</v>
      </c>
      <c r="M4" s="12" t="s">
        <v>76</v>
      </c>
      <c r="N4" s="12" t="s">
        <v>77</v>
      </c>
      <c r="O4" s="12" t="s">
        <v>78</v>
      </c>
      <c r="P4" s="12" t="s">
        <v>63</v>
      </c>
      <c r="Q4" s="12" t="s">
        <v>59</v>
      </c>
      <c r="R4" s="12" t="s">
        <v>79</v>
      </c>
      <c r="S4" s="12" t="s">
        <v>80</v>
      </c>
      <c r="T4" s="12" t="s">
        <v>81</v>
      </c>
      <c r="U4" s="12" t="s">
        <v>82</v>
      </c>
      <c r="V4" s="12" t="s">
        <v>69</v>
      </c>
      <c r="W4" s="12" t="s">
        <v>70</v>
      </c>
      <c r="X4" s="6" t="s">
        <v>71</v>
      </c>
    </row>
    <row r="5" spans="2:24" x14ac:dyDescent="0.25">
      <c r="B5" s="9"/>
      <c r="C5" s="4"/>
      <c r="X5" s="10"/>
    </row>
  </sheetData>
  <mergeCells count="1">
    <mergeCell ref="C2:X2"/>
  </mergeCells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B590E-7E64-46AC-AF2C-B738D2C59885}">
  <sheetPr codeName="Sheet12"/>
  <dimension ref="A4:C7"/>
  <sheetViews>
    <sheetView workbookViewId="0">
      <selection activeCell="H16" sqref="H16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11.28515625" bestFit="1" customWidth="1"/>
  </cols>
  <sheetData>
    <row r="4" spans="1:3" x14ac:dyDescent="0.25">
      <c r="A4" s="7" t="s">
        <v>109</v>
      </c>
      <c r="B4" s="7" t="s">
        <v>48</v>
      </c>
    </row>
    <row r="5" spans="1:3" x14ac:dyDescent="0.25">
      <c r="A5" s="7" t="s">
        <v>45</v>
      </c>
      <c r="B5" t="s">
        <v>116</v>
      </c>
      <c r="C5" t="s">
        <v>46</v>
      </c>
    </row>
    <row r="6" spans="1:3" x14ac:dyDescent="0.25">
      <c r="A6" s="8" t="s">
        <v>116</v>
      </c>
      <c r="B6" s="16"/>
      <c r="C6" s="16"/>
    </row>
    <row r="7" spans="1:3" x14ac:dyDescent="0.25">
      <c r="A7" s="8" t="s">
        <v>46</v>
      </c>
      <c r="B7" s="16"/>
      <c r="C7" s="1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5D4FC-493A-4B3E-B61E-0A0579482984}">
  <sheetPr codeName="Sheet5"/>
  <dimension ref="B1:D6"/>
  <sheetViews>
    <sheetView workbookViewId="0">
      <selection activeCell="R13" sqref="R13"/>
    </sheetView>
  </sheetViews>
  <sheetFormatPr defaultRowHeight="15" x14ac:dyDescent="0.25"/>
  <cols>
    <col min="2" max="2" width="13.5703125" bestFit="1" customWidth="1"/>
    <col min="3" max="3" width="16.28515625" bestFit="1" customWidth="1"/>
    <col min="4" max="4" width="11.28515625" bestFit="1" customWidth="1"/>
    <col min="5" max="5" width="12" bestFit="1" customWidth="1"/>
    <col min="6" max="6" width="12.42578125" bestFit="1" customWidth="1"/>
    <col min="7" max="7" width="13.28515625" bestFit="1" customWidth="1"/>
    <col min="8" max="9" width="12.42578125" bestFit="1" customWidth="1"/>
  </cols>
  <sheetData>
    <row r="1" spans="2:4" x14ac:dyDescent="0.25">
      <c r="B1" s="7" t="s">
        <v>55</v>
      </c>
      <c r="C1" t="s">
        <v>47</v>
      </c>
    </row>
    <row r="3" spans="2:4" x14ac:dyDescent="0.25">
      <c r="B3" s="7" t="s">
        <v>110</v>
      </c>
      <c r="C3" s="7" t="s">
        <v>48</v>
      </c>
    </row>
    <row r="4" spans="2:4" x14ac:dyDescent="0.25">
      <c r="B4" s="7" t="s">
        <v>45</v>
      </c>
      <c r="C4" t="s">
        <v>116</v>
      </c>
      <c r="D4" t="s">
        <v>46</v>
      </c>
    </row>
    <row r="5" spans="2:4" x14ac:dyDescent="0.25">
      <c r="B5" s="8" t="s">
        <v>116</v>
      </c>
      <c r="C5" s="16"/>
      <c r="D5" s="16"/>
    </row>
    <row r="6" spans="2:4" x14ac:dyDescent="0.25">
      <c r="B6" s="8" t="s">
        <v>46</v>
      </c>
      <c r="C6" s="16"/>
      <c r="D6" s="1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6D300-7242-4EB5-915E-A8880DEC73E5}">
  <sheetPr codeName="Sheet6"/>
  <dimension ref="A1:C6"/>
  <sheetViews>
    <sheetView workbookViewId="0">
      <selection activeCell="B13" sqref="B13"/>
    </sheetView>
  </sheetViews>
  <sheetFormatPr defaultRowHeight="15" x14ac:dyDescent="0.25"/>
  <cols>
    <col min="1" max="1" width="13.5703125" bestFit="1" customWidth="1"/>
    <col min="2" max="2" width="16.28515625" bestFit="1" customWidth="1"/>
    <col min="3" max="5" width="11.28515625" bestFit="1" customWidth="1"/>
    <col min="6" max="6" width="15.140625" bestFit="1" customWidth="1"/>
    <col min="7" max="7" width="18.28515625" bestFit="1" customWidth="1"/>
    <col min="8" max="9" width="11.28515625" bestFit="1" customWidth="1"/>
  </cols>
  <sheetData>
    <row r="1" spans="1:3" x14ac:dyDescent="0.25">
      <c r="A1" s="7" t="s">
        <v>55</v>
      </c>
      <c r="B1" t="s">
        <v>47</v>
      </c>
    </row>
    <row r="3" spans="1:3" x14ac:dyDescent="0.25">
      <c r="A3" s="7" t="s">
        <v>110</v>
      </c>
      <c r="B3" s="7" t="s">
        <v>48</v>
      </c>
    </row>
    <row r="4" spans="1:3" x14ac:dyDescent="0.25">
      <c r="A4" s="7" t="s">
        <v>45</v>
      </c>
      <c r="B4" t="s">
        <v>116</v>
      </c>
      <c r="C4" t="s">
        <v>46</v>
      </c>
    </row>
    <row r="5" spans="1:3" x14ac:dyDescent="0.25">
      <c r="A5" s="8" t="s">
        <v>116</v>
      </c>
      <c r="B5" s="16"/>
      <c r="C5" s="16"/>
    </row>
    <row r="6" spans="1:3" x14ac:dyDescent="0.25">
      <c r="A6" s="8" t="s">
        <v>46</v>
      </c>
      <c r="B6" s="16"/>
      <c r="C6" s="1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032BF-4107-4066-8C2A-D500CDD0E537}">
  <sheetPr codeName="Sheet13"/>
  <dimension ref="A1:B6"/>
  <sheetViews>
    <sheetView workbookViewId="0">
      <selection activeCell="A2" sqref="A2"/>
    </sheetView>
  </sheetViews>
  <sheetFormatPr defaultRowHeight="15" x14ac:dyDescent="0.25"/>
  <cols>
    <col min="1" max="1" width="13.140625" bestFit="1" customWidth="1"/>
    <col min="2" max="2" width="13.7109375" bestFit="1" customWidth="1"/>
    <col min="3" max="3" width="12" bestFit="1" customWidth="1"/>
  </cols>
  <sheetData>
    <row r="1" spans="1:2" x14ac:dyDescent="0.25">
      <c r="A1" s="7" t="s">
        <v>55</v>
      </c>
      <c r="B1" t="s">
        <v>47</v>
      </c>
    </row>
    <row r="2" spans="1:2" x14ac:dyDescent="0.25">
      <c r="A2" s="7" t="s">
        <v>53</v>
      </c>
      <c r="B2" t="s">
        <v>116</v>
      </c>
    </row>
    <row r="4" spans="1:2" x14ac:dyDescent="0.25">
      <c r="A4" s="7" t="s">
        <v>45</v>
      </c>
      <c r="B4" t="s">
        <v>111</v>
      </c>
    </row>
    <row r="5" spans="1:2" x14ac:dyDescent="0.25">
      <c r="A5" s="8" t="s">
        <v>116</v>
      </c>
      <c r="B5" s="16"/>
    </row>
    <row r="6" spans="1:2" x14ac:dyDescent="0.25">
      <c r="A6" s="8" t="s">
        <v>46</v>
      </c>
      <c r="B6" s="1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E86E2-4F21-4770-9118-B3EEC3FCD179}">
  <sheetPr codeName="Sheet9"/>
  <dimension ref="A2:D6"/>
  <sheetViews>
    <sheetView workbookViewId="0">
      <selection activeCell="G19" sqref="G19"/>
    </sheetView>
  </sheetViews>
  <sheetFormatPr defaultRowHeight="15" x14ac:dyDescent="0.25"/>
  <cols>
    <col min="1" max="1" width="13.140625" bestFit="1" customWidth="1"/>
    <col min="2" max="2" width="22.42578125" bestFit="1" customWidth="1"/>
    <col min="3" max="3" width="22.140625" bestFit="1" customWidth="1"/>
    <col min="4" max="4" width="26" bestFit="1" customWidth="1"/>
    <col min="5" max="5" width="25.7109375" bestFit="1" customWidth="1"/>
    <col min="6" max="6" width="29.140625" bestFit="1" customWidth="1"/>
    <col min="7" max="7" width="26.42578125" bestFit="1" customWidth="1"/>
    <col min="8" max="8" width="30.7109375" bestFit="1" customWidth="1"/>
    <col min="9" max="9" width="34.28515625" bestFit="1" customWidth="1"/>
    <col min="10" max="10" width="31.42578125" bestFit="1" customWidth="1"/>
    <col min="11" max="11" width="30.7109375" bestFit="1" customWidth="1"/>
    <col min="12" max="12" width="34.28515625" bestFit="1" customWidth="1"/>
    <col min="13" max="13" width="31.42578125" bestFit="1" customWidth="1"/>
  </cols>
  <sheetData>
    <row r="2" spans="1:4" x14ac:dyDescent="0.25">
      <c r="A2" s="7" t="s">
        <v>55</v>
      </c>
      <c r="B2" t="s">
        <v>47</v>
      </c>
    </row>
    <row r="4" spans="1:4" x14ac:dyDescent="0.25">
      <c r="A4" s="7" t="s">
        <v>45</v>
      </c>
      <c r="B4" t="s">
        <v>113</v>
      </c>
      <c r="C4" t="s">
        <v>114</v>
      </c>
      <c r="D4" t="s">
        <v>115</v>
      </c>
    </row>
    <row r="5" spans="1:4" x14ac:dyDescent="0.25">
      <c r="A5" s="8" t="s">
        <v>116</v>
      </c>
      <c r="B5" s="16"/>
      <c r="C5" s="16"/>
      <c r="D5" s="16"/>
    </row>
    <row r="6" spans="1:4" x14ac:dyDescent="0.25">
      <c r="A6" s="8" t="s">
        <v>46</v>
      </c>
      <c r="B6" s="16"/>
      <c r="C6" s="16"/>
      <c r="D6" s="16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97186-27DC-4BA2-B63F-3262C4450683}">
  <sheetPr codeName="Sheet10"/>
  <dimension ref="A5:C8"/>
  <sheetViews>
    <sheetView workbookViewId="0">
      <selection activeCell="B17" sqref="B17"/>
    </sheetView>
  </sheetViews>
  <sheetFormatPr defaultRowHeight="15" x14ac:dyDescent="0.25"/>
  <cols>
    <col min="1" max="1" width="13.7109375" bestFit="1" customWidth="1"/>
    <col min="2" max="2" width="16.28515625" bestFit="1" customWidth="1"/>
    <col min="3" max="3" width="11.28515625" bestFit="1" customWidth="1"/>
    <col min="4" max="5" width="12.42578125" bestFit="1" customWidth="1"/>
    <col min="6" max="6" width="20.7109375" bestFit="1" customWidth="1"/>
    <col min="7" max="7" width="21.85546875" bestFit="1" customWidth="1"/>
    <col min="8" max="8" width="24.28515625" bestFit="1" customWidth="1"/>
    <col min="9" max="9" width="25.28515625" bestFit="1" customWidth="1"/>
  </cols>
  <sheetData>
    <row r="5" spans="1:3" x14ac:dyDescent="0.25">
      <c r="A5" s="7" t="s">
        <v>112</v>
      </c>
      <c r="B5" s="7" t="s">
        <v>48</v>
      </c>
    </row>
    <row r="6" spans="1:3" x14ac:dyDescent="0.25">
      <c r="A6" s="7" t="s">
        <v>45</v>
      </c>
      <c r="B6" t="s">
        <v>116</v>
      </c>
      <c r="C6" t="s">
        <v>46</v>
      </c>
    </row>
    <row r="7" spans="1:3" x14ac:dyDescent="0.25">
      <c r="A7" s="8" t="s">
        <v>116</v>
      </c>
      <c r="B7" s="16"/>
      <c r="C7" s="16"/>
    </row>
    <row r="8" spans="1:3" x14ac:dyDescent="0.25">
      <c r="A8" s="8" t="s">
        <v>46</v>
      </c>
      <c r="B8" s="16"/>
      <c r="C8" s="16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1BE42-42FC-4B65-ABF9-4390DDCBFCB2}">
  <sheetPr codeName="Sheet15"/>
  <dimension ref="A2:D6"/>
  <sheetViews>
    <sheetView workbookViewId="0">
      <selection activeCell="F17" sqref="F17"/>
    </sheetView>
  </sheetViews>
  <sheetFormatPr defaultRowHeight="15" x14ac:dyDescent="0.25"/>
  <cols>
    <col min="1" max="1" width="13.140625" bestFit="1" customWidth="1"/>
    <col min="2" max="2" width="22.42578125" bestFit="1" customWidth="1"/>
    <col min="3" max="3" width="22.140625" bestFit="1" customWidth="1"/>
    <col min="4" max="4" width="26" bestFit="1" customWidth="1"/>
    <col min="5" max="5" width="26.140625" bestFit="1" customWidth="1"/>
    <col min="6" max="6" width="25.7109375" bestFit="1" customWidth="1"/>
    <col min="7" max="7" width="29.28515625" bestFit="1" customWidth="1"/>
    <col min="8" max="8" width="30.7109375" bestFit="1" customWidth="1"/>
    <col min="9" max="9" width="35.28515625" bestFit="1" customWidth="1"/>
    <col min="10" max="10" width="31.42578125" bestFit="1" customWidth="1"/>
  </cols>
  <sheetData>
    <row r="2" spans="1:4" x14ac:dyDescent="0.25">
      <c r="A2" s="7" t="s">
        <v>55</v>
      </c>
      <c r="B2" t="s">
        <v>116</v>
      </c>
    </row>
    <row r="4" spans="1:4" x14ac:dyDescent="0.25">
      <c r="A4" s="7" t="s">
        <v>45</v>
      </c>
      <c r="B4" t="s">
        <v>113</v>
      </c>
      <c r="C4" t="s">
        <v>114</v>
      </c>
      <c r="D4" t="s">
        <v>115</v>
      </c>
    </row>
    <row r="5" spans="1:4" x14ac:dyDescent="0.25">
      <c r="A5" s="8" t="s">
        <v>116</v>
      </c>
      <c r="B5" s="16"/>
      <c r="C5" s="16"/>
      <c r="D5" s="16"/>
    </row>
    <row r="6" spans="1:4" x14ac:dyDescent="0.25">
      <c r="A6" s="8" t="s">
        <v>46</v>
      </c>
      <c r="B6" s="16"/>
      <c r="C6" s="16"/>
      <c r="D6" s="16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57CD1-4CB7-4785-ACFD-1CC7CB04D385}">
  <sheetPr codeName="Sheet14"/>
  <dimension ref="A4:B6"/>
  <sheetViews>
    <sheetView workbookViewId="0">
      <selection activeCell="A12" sqref="A6:A25"/>
      <pivotSelection pane="bottomRight" showHeader="1" activeRow="11" click="1" r:id="rId1">
        <pivotArea dataOnly="0" labelOnly="1" fieldPosition="0">
          <references count="1">
            <reference field="0" count="0"/>
          </references>
        </pivotArea>
      </pivotSelection>
    </sheetView>
  </sheetViews>
  <sheetFormatPr defaultRowHeight="15" x14ac:dyDescent="0.25"/>
  <cols>
    <col min="1" max="1" width="13.7109375" bestFit="1" customWidth="1"/>
    <col min="2" max="2" width="16.28515625" bestFit="1" customWidth="1"/>
    <col min="3" max="3" width="12" bestFit="1" customWidth="1"/>
    <col min="4" max="4" width="25.7109375" bestFit="1" customWidth="1"/>
  </cols>
  <sheetData>
    <row r="4" spans="1:2" x14ac:dyDescent="0.25">
      <c r="A4" s="7" t="s">
        <v>112</v>
      </c>
      <c r="B4" s="7" t="s">
        <v>48</v>
      </c>
    </row>
    <row r="5" spans="1:2" x14ac:dyDescent="0.25">
      <c r="A5" s="7" t="s">
        <v>45</v>
      </c>
      <c r="B5" t="s">
        <v>46</v>
      </c>
    </row>
    <row r="6" spans="1:2" x14ac:dyDescent="0.25">
      <c r="A6" s="8" t="s">
        <v>46</v>
      </c>
      <c r="B6" s="1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Summary</vt:lpstr>
      <vt:lpstr>Dashboard</vt:lpstr>
      <vt:lpstr>Demand</vt:lpstr>
      <vt:lpstr>Generation</vt:lpstr>
      <vt:lpstr>Buses</vt:lpstr>
      <vt:lpstr>Lines</vt:lpstr>
      <vt:lpstr>Trafos</vt:lpstr>
      <vt:lpstr>Demand01</vt:lpstr>
      <vt:lpstr>Gen01</vt:lpstr>
      <vt:lpstr>Gen02</vt:lpstr>
      <vt:lpstr>bus01</vt:lpstr>
      <vt:lpstr>Lines01</vt:lpstr>
      <vt:lpstr>Lines02</vt:lpstr>
      <vt:lpstr>Trafos01</vt:lpstr>
      <vt:lpstr>Trafos02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Oviedo</dc:creator>
  <cp:lastModifiedBy>Martin Oviedo</cp:lastModifiedBy>
  <dcterms:created xsi:type="dcterms:W3CDTF">2022-11-16T19:56:03Z</dcterms:created>
  <dcterms:modified xsi:type="dcterms:W3CDTF">2023-01-12T11:22:28Z</dcterms:modified>
</cp:coreProperties>
</file>