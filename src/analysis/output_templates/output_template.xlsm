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EA39E3A8-ADA2-477A-8E34-94A56EDC849B}" xr6:coauthVersionLast="47" xr6:coauthVersionMax="47" xr10:uidLastSave="{00000000-0000-0000-0000-000000000000}"/>
  <bookViews>
    <workbookView xWindow="-120" yWindow="-120" windowWidth="38640" windowHeight="21120" tabRatio="799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ata" sheetId="17" r:id="rId8"/>
    <sheet name="Demand01" sheetId="16" state="hidden" r:id="rId9"/>
    <sheet name="Gen01" sheetId="9" state="hidden" r:id="rId10"/>
    <sheet name="Gen02" sheetId="10" state="hidden" r:id="rId11"/>
    <sheet name="bus01" sheetId="15" state="hidden" r:id="rId12"/>
    <sheet name="Lines01" sheetId="11" state="hidden" r:id="rId13"/>
    <sheet name="Lines02" sheetId="12" state="hidden" r:id="rId14"/>
    <sheet name="Trafos02" sheetId="13" state="hidden" r:id="rId15"/>
    <sheet name="Trafos01" sheetId="14" state="hidden" r:id="rId16"/>
  </sheets>
  <definedNames>
    <definedName name="_xlnm._FilterDatabase" localSheetId="4" hidden="1">Buses!$D$4:$L$4</definedName>
  </definedNames>
  <calcPr calcId="191029"/>
  <pivotCaches>
    <pivotCache cacheId="450" r:id="rId17"/>
    <pivotCache cacheId="462" r:id="rId18"/>
    <pivotCache cacheId="478" r:id="rId19"/>
    <pivotCache cacheId="488" r:id="rId20"/>
    <pivotCache cacheId="494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<sst xmlns="http://schemas.openxmlformats.org/spreadsheetml/2006/main" count="251" uniqueCount="120">
  <si>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</si>
  <si>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</si>
  <si>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</si>
  <si>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</si>
  <si>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</si>
  <si>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</si>
  <si>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</si>
  <si>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</si>
  <si>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</si>
  <si>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</si>
  <si>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</si>
  <si>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</si>
  <si>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</si>
  <si>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</si>
  <si>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</si>
  <si>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</si>
  <si>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</si>
  <si>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</si>
  <si>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</si>
  <si>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</si>
  <si>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</si>
  <si>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</si>
  <si>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</si>
  <si>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</si>
  <si>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</si>
  <si>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</si>
  <si>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</si>
  <si>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</si>
  <si>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</si>
  <si>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</si>
  <si>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</si>
  <si>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</si>
  <si>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</si>
  <si>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</si>
  <si>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</si>
  <si>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</si>
  <si>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</si>
  <si>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</si>
  <si>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</si>
  <si>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</si>
  <si>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</si>
  <si>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</si>
  <si>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</si>
  <si>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</si>
  <si>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</si>
  <si>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</si>
  <si>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</si>
  <si>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</si>
  <si>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</si>
  <si>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</si>
  <si>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</si>
  <si>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</si>
  <si>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</si>
  <si>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</si>
  <si>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</si>
  <si>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</si>
  <si>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</si>
  <si>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</si>
  <si>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</si>
  <si>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</si>
  <si>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</si>
  <si>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</si>
  <si>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</si>
  <si>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</si>
  <si>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</si>
  <si>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</si>
  <si>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</si>
  <si>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</si>
  <si>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</si>
  <si>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</si>
  <si>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</si>
  <si>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</si>
  <si>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</si>
  <si>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</si>
  <si>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</si>
  <si>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</si>
  <si>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</si>
  <si>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</si>
  <si>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</si>
  <si>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</si>
  <si>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</si>
  <si>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</si>
  <si>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</si>
  <si>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</si>
  <si>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</si>
  <si>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</si>
  <si>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</si>
  <si>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</si>
  <si>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</si>
  <si>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</si>
  <si>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</si>
  <si>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</si>
  <si>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</si>
  <si>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</si>
  <si>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</si>
  <si>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</si>
  <si>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</si>
  <si>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</si>
  <si>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</si>
  <si>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</si>
  <si>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</si>
  <si>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</si>
  <si>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</si>
  <si>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</si>
  <si>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 xml:space="preserve">p_mw </t>
  </si>
  <si>
    <t>Fuel / Source</t>
  </si>
  <si>
    <t>Voltage Setting Point [PV bus]</t>
  </si>
  <si>
    <t>type</t>
  </si>
  <si>
    <t>Type</t>
  </si>
  <si>
    <t>Sum of p_mw</t>
  </si>
  <si>
    <t xml:space="preserve">Sum of p_mw </t>
  </si>
  <si>
    <t>Sum of vm_pu</t>
  </si>
  <si>
    <t>Sum of pl_mw</t>
  </si>
  <si>
    <t>Max of loading_percent</t>
  </si>
  <si>
    <t>Min of loading_percent</t>
  </si>
  <si>
    <t>Average of loading_percent</t>
  </si>
  <si>
    <t>(blank)</t>
  </si>
  <si>
    <t>Scenario Name</t>
  </si>
  <si>
    <t>scenario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</si>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</sst>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2" fillId="2" borderId="0" xfId="0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1-4D8B-B613-E7036B16E6FF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Lines01!$C$5:$C$6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D1-4D8B-B613-E7036B16E6FF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Lines01!$D$5:$D$6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D1-4D8B-B613-E7036B16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Lines02!$B$5:$B$6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Lines02!$A$7:$A$8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Lines02!$B$7:$B$8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9-492C-A04E-823B5D4A1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'Gen01'!$B$3:$B$5</c:f>
              <c:strCache>
                <c:ptCount val="1"/>
                <c:pt idx="0">
                  <c:v>(blank) - (blank)</c:v>
                </c:pt>
              </c:strCache>
            </c:strRef>
          </c:tx>
          <c:cat>
            <c:strRef>
              <c:f>'Gen01'!$A$6:$A$7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'Gen01'!$B$6:$B$7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Trafos02!$A$6:$A$7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Trafos02!$B$6:$B$7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0B-4ADE-AA2A-245FCC27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C-4507-9759-A961F271FD14}"/>
            </c:ext>
          </c:extLst>
        </c:ser>
        <c:ser>
          <c:idx val="1"/>
          <c:order val="1"/>
          <c:tx>
            <c:strRef>
              <c:f>Trafos01!$C$4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Trafos01!$C$5:$C$6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C-4507-9759-A961F271FD14}"/>
            </c:ext>
          </c:extLst>
        </c:ser>
        <c:ser>
          <c:idx val="2"/>
          <c:order val="2"/>
          <c:tx>
            <c:strRef>
              <c:f>Trafos01!$D$4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Trafos01!$D$5:$D$6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C-4507-9759-A961F271F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'Gen01'!$B$3:$B$5</c:f>
              <c:strCache>
                <c:ptCount val="1"/>
                <c:pt idx="0">
                  <c:v>(blank) - (blank)</c:v>
                </c:pt>
              </c:strCache>
            </c:strRef>
          </c:tx>
          <c:invertIfNegative val="0"/>
          <c:cat>
            <c:strRef>
              <c:f>'Gen01'!$A$6:$A$7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'Gen01'!$B$6:$B$7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'bus01'!$B$6:$B$7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9FBD-4336-A51B-CA363AA6C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Demand01!$B$4:$B$5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Demand01!$A$6:$A$7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Demand01!$B$6:$B$7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255-49D5-8D4C-52311B12C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801135"/>
        <c:axId val="451794063"/>
      </c:bar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3</xdr:row>
          <xdr:rowOff>19050</xdr:rowOff>
        </xdr:from>
        <xdr:to>
          <xdr:col>4</xdr:col>
          <xdr:colOff>600075</xdr:colOff>
          <xdr:row>6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9525</xdr:rowOff>
        </xdr:from>
        <xdr:to>
          <xdr:col>4</xdr:col>
          <xdr:colOff>581025</xdr:colOff>
          <xdr:row>10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19050</xdr:rowOff>
        </xdr:from>
        <xdr:to>
          <xdr:col>4</xdr:col>
          <xdr:colOff>571500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57150</xdr:rowOff>
        </xdr:from>
        <xdr:to>
          <xdr:col>4</xdr:col>
          <xdr:colOff>571500</xdr:colOff>
          <xdr:row>8</xdr:row>
          <xdr:rowOff>28575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AB994320-BE79-0A1F-5178-EC79CDDC1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199876</xdr:colOff>
      <xdr:row>42</xdr:row>
      <xdr:rowOff>33618</xdr:rowOff>
    </xdr:from>
    <xdr:to>
      <xdr:col>16</xdr:col>
      <xdr:colOff>59914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87264</xdr:colOff>
      <xdr:row>42</xdr:row>
      <xdr:rowOff>41414</xdr:rowOff>
    </xdr:from>
    <xdr:to>
      <xdr:col>23</xdr:col>
      <xdr:colOff>441010</xdr:colOff>
      <xdr:row>54</xdr:row>
      <xdr:rowOff>172242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185058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98001</xdr:colOff>
      <xdr:row>55</xdr:row>
      <xdr:rowOff>77474</xdr:rowOff>
    </xdr:from>
    <xdr:to>
      <xdr:col>23</xdr:col>
      <xdr:colOff>440541</xdr:colOff>
      <xdr:row>68</xdr:row>
      <xdr:rowOff>141514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216643</xdr:colOff>
      <xdr:row>55</xdr:row>
      <xdr:rowOff>69303</xdr:rowOff>
    </xdr:from>
    <xdr:to>
      <xdr:col>16</xdr:col>
      <xdr:colOff>67380</xdr:colOff>
      <xdr:row>68</xdr:row>
      <xdr:rowOff>145677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185059</xdr:colOff>
      <xdr:row>23</xdr:row>
      <xdr:rowOff>57978</xdr:rowOff>
    </xdr:from>
    <xdr:to>
      <xdr:col>23</xdr:col>
      <xdr:colOff>433755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190500</xdr:colOff>
      <xdr:row>69</xdr:row>
      <xdr:rowOff>6180</xdr:rowOff>
    </xdr:from>
    <xdr:to>
      <xdr:col>23</xdr:col>
      <xdr:colOff>431046</xdr:colOff>
      <xdr:row>84</xdr:row>
      <xdr:rowOff>179294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190500</xdr:colOff>
      <xdr:row>85</xdr:row>
      <xdr:rowOff>18281</xdr:rowOff>
    </xdr:from>
    <xdr:to>
      <xdr:col>23</xdr:col>
      <xdr:colOff>465015</xdr:colOff>
      <xdr:row>100</xdr:row>
      <xdr:rowOff>72501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59375003" createdVersion="8" refreshedVersion="8" minRefreshableVersion="3" recordCount="1" xr:uid="{FD2DEA7C-01DB-41E3-9168-1201B46ACFCF}">
  <cacheSource type="worksheet">
    <worksheetSource name="Demand"/>
  </cacheSource>
  <cacheFields count="9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name" numFmtId="0">
      <sharedItems containsNonDate="0" containsString="0" containsBlank="1"/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p_mw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60763889" createdVersion="8" refreshedVersion="8" minRefreshableVersion="3" recordCount="1" xr:uid="{B39AD0D5-320F-4CDE-AAEA-6154DD2D13D1}">
  <cacheSource type="worksheet">
    <worksheetSource name="Generation"/>
  </cacheSource>
  <cacheFields count="16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type" numFmtId="0">
      <sharedItems containsNonDate="0" containsString="0" containsBlank="1"/>
    </cacheField>
    <cacheField name="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fuel" numFmtId="0">
      <sharedItems containsNonDate="0" containsBlank="1" count="5">
        <m/>
        <s v="Wind" u="1"/>
        <s v="---" u="1"/>
        <s v="Coal" u="1"/>
        <s v="NG" u="1"/>
      </sharedItems>
    </cacheField>
    <cacheField name="vm_pu" numFmtId="0">
      <sharedItems containsNonDate="0" containsString="0" containsBlank="1"/>
    </cacheField>
    <cacheField name="max_p_mw" numFmtId="0">
      <sharedItems containsNonDate="0" containsString="0" containsBlank="1"/>
    </cacheField>
    <cacheField name="max_q_mw" numFmtId="0">
      <sharedItems containsNonDate="0" containsString="0" containsBlank="1"/>
    </cacheField>
    <cacheField name="min_p_mw" numFmtId="0">
      <sharedItems containsNonDate="0" containsString="0" containsBlank="1"/>
    </cacheField>
    <cacheField name="min_q_mvar" numFmtId="0">
      <sharedItems containsNonDate="0" containsString="0" containsBlank="1"/>
    </cacheField>
    <cacheField name="p_mw 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62847221" createdVersion="8" refreshedVersion="8" minRefreshableVersion="3" recordCount="1" xr:uid="{31659242-2421-4528-918B-0B0964891456}">
  <cacheSource type="worksheet">
    <worksheetSource name="Lines"/>
  </cacheSource>
  <cacheFields count="20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from_bus" numFmtId="0">
      <sharedItems containsNonDate="0" containsString="0" containsBlank="1"/>
    </cacheField>
    <cacheField name="to_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length_km" numFmtId="0">
      <sharedItems containsNonDate="0" containsString="0" containsBlank="1"/>
    </cacheField>
    <cacheField name="max_i_ka" numFmtId="0">
      <sharedItems containsNonDate="0" containsString="0" containsBlank="1"/>
    </cacheField>
    <cacheField name="max_loading_percent" numFmtId="0">
      <sharedItems containsNonDate="0" containsString="0" containsBlank="1"/>
    </cacheField>
    <cacheField name="parallel" numFmtId="0">
      <sharedItems containsNonDate="0" containsString="0" containsBlank="1"/>
    </cacheField>
    <cacheField name="std_type" numFmtId="0">
      <sharedItems containsNonDate="0" containsString="0" containsBlank="1"/>
    </cacheField>
    <cacheField name="p_from_mw" numFmtId="0">
      <sharedItems containsNonDate="0" containsString="0" containsBlank="1"/>
    </cacheField>
    <cacheField name="q_from_mvar" numFmtId="0">
      <sharedItems containsNonDate="0" containsString="0" containsBlank="1"/>
    </cacheField>
    <cacheField name="p_to_mw" numFmtId="0">
      <sharedItems containsNonDate="0" containsString="0" containsBlank="1"/>
    </cacheField>
    <cacheField name="q_to_mvar" numFmtId="0">
      <sharedItems containsNonDate="0" containsString="0" containsBlank="1"/>
    </cacheField>
    <cacheField name="pl_mw" numFmtId="0">
      <sharedItems containsNonDate="0" containsString="0" containsBlank="1"/>
    </cacheField>
    <cacheField name="ql_mvar" numFmtId="0">
      <sharedItems containsNonDate="0" containsString="0" containsBlank="1"/>
    </cacheField>
    <cacheField name="loading_perc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64351853" createdVersion="8" refreshedVersion="8" minRefreshableVersion="3" recordCount="1" xr:uid="{94605D9B-A09C-43DF-8117-38A3B979163A}">
  <cacheSource type="worksheet">
    <worksheetSource name="Trafos"/>
  </cacheSource>
  <cacheFields count="22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Blank="1" count="2">
        <m/>
        <s v="---" u="1"/>
      </sharedItems>
    </cacheField>
    <cacheField name="name" numFmtId="0">
      <sharedItems containsNonDate="0" containsString="0" containsBlank="1"/>
    </cacheField>
    <cacheField name="std_type" numFmtId="0">
      <sharedItems containsNonDate="0" containsString="0" containsBlank="1"/>
    </cacheField>
    <cacheField name="hv_bus" numFmtId="0">
      <sharedItems containsNonDate="0" containsString="0" containsBlank="1"/>
    </cacheField>
    <cacheField name="lv_bus" numFmtId="0">
      <sharedItems containsNonDate="0" containsString="0" containsBlank="1"/>
    </cacheField>
    <cacheField name="vn_hv_kv" numFmtId="0">
      <sharedItems containsNonDate="0" containsString="0" containsBlank="1"/>
    </cacheField>
    <cacheField name="vn_lv_kv" numFmtId="0">
      <sharedItems containsNonDate="0" containsString="0" containsBlank="1"/>
    </cacheField>
    <cacheField name="pfe_kw" numFmtId="0">
      <sharedItems containsNonDate="0" containsString="0" containsBlank="1"/>
    </cacheField>
    <cacheField name="shift_degree" numFmtId="0">
      <sharedItems containsNonDate="0" containsString="0" containsBlank="1"/>
    </cacheField>
    <cacheField name="tap_pos" numFmtId="0">
      <sharedItems containsNonDate="0" containsString="0" containsBlank="1"/>
    </cacheField>
    <cacheField name="parallel" numFmtId="0">
      <sharedItems containsNonDate="0" containsString="0" containsBlank="1"/>
    </cacheField>
    <cacheField name="in_service" numFmtId="0">
      <sharedItems containsNonDate="0" containsString="0" containsBlank="1"/>
    </cacheField>
    <cacheField name="p_hv_mw" numFmtId="0">
      <sharedItems containsNonDate="0" containsString="0" containsBlank="1"/>
    </cacheField>
    <cacheField name="q_hv_mvar" numFmtId="0">
      <sharedItems containsNonDate="0" containsString="0" containsBlank="1"/>
    </cacheField>
    <cacheField name="p_lv_mw" numFmtId="0">
      <sharedItems containsNonDate="0" containsString="0" containsBlank="1"/>
    </cacheField>
    <cacheField name="q_lv_mvar" numFmtId="0">
      <sharedItems containsNonDate="0" containsString="0" containsBlank="1"/>
    </cacheField>
    <cacheField name="pl_mw" numFmtId="0">
      <sharedItems containsNonDate="0" containsString="0" containsBlank="1"/>
    </cacheField>
    <cacheField name="ql_mvar" numFmtId="0">
      <sharedItems containsNonDate="0" containsString="0" containsBlank="1"/>
    </cacheField>
    <cacheField name="loading_perc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76273145" createdVersion="8" refreshedVersion="8" minRefreshableVersion="3" recordCount="1" xr:uid="{5270DA27-09A3-4A5E-B1AE-BD7F984983B9}">
  <cacheSource type="worksheet">
    <worksheetSource name="Buses"/>
  </cacheSource>
  <cacheFields count="11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 containsNumber="1" containsInteger="1" minValue="0" maxValue="319" count="180">
        <m/>
        <n v="0" u="1"/>
        <n v="298" u="1"/>
        <n v="57" u="1"/>
        <n v="34" u="1"/>
        <n v="75" u="1"/>
        <n v="235" u="1"/>
        <n v="285" u="1"/>
        <n v="100" u="1"/>
        <n v="143" u="1"/>
        <n v="314" u="1"/>
        <n v="36" u="1"/>
        <n v="79" u="1"/>
        <n v="172" u="1"/>
        <n v="243" u="1"/>
        <n v="301" u="1"/>
        <n v="104" u="1"/>
        <n v="201" u="1"/>
        <n v="288" u="1"/>
        <n v="38" u="1"/>
        <n v="83" u="1"/>
        <n v="317" u="1"/>
        <n v="5" u="1"/>
        <n v="108" u="1"/>
        <n v="159" u="1"/>
        <n v="275" u="1"/>
        <n v="138" u="1"/>
        <n v="304" u="1"/>
        <n v="40" u="1"/>
        <n v="188" u="1"/>
        <n v="167" u="1"/>
        <n v="238" u="1"/>
        <n v="146" u="1"/>
        <n v="42" u="1"/>
        <n v="196" u="1"/>
        <n v="116" u="1"/>
        <n v="246" u="1"/>
        <n v="44" u="1"/>
        <n v="95" u="1"/>
        <n v="133" u="1"/>
        <n v="120" u="1"/>
        <n v="74" u="1"/>
        <n v="162" u="1"/>
        <n v="281" u="1"/>
        <n v="2" u="1"/>
        <n v="46" u="1"/>
        <n v="141" u="1"/>
        <n v="6" u="1"/>
        <n v="78" u="1"/>
        <n v="170" u="1"/>
        <n v="241" u="1"/>
        <n v="48" u="1"/>
        <n v="103" u="1"/>
        <n v="149" u="1"/>
        <n v="199" u="1"/>
        <n v="82" u="1"/>
        <n v="178" u="1"/>
        <n v="313" u="1"/>
        <n v="50" u="1"/>
        <n v="107" u="1"/>
        <n v="157" u="1"/>
        <n v="271" u="1"/>
        <n v="136" u="1"/>
        <n v="207" u="1"/>
        <n v="86" u="1"/>
        <n v="186" u="1"/>
        <n v="52" u="1"/>
        <n v="111" u="1"/>
        <n v="236" u="1"/>
        <n v="287" u="1"/>
        <n v="65" u="1"/>
        <n v="144" u="1"/>
        <n v="215" u="1"/>
        <n v="316" u="1"/>
        <n v="194" u="1"/>
        <n v="54" u="1"/>
        <n v="173" u="1"/>
        <n v="244" u="1"/>
        <n v="303" u="1"/>
        <n v="7" u="1"/>
        <n v="223" u="1"/>
        <n v="94" u="1"/>
        <n v="131" u="1"/>
        <n v="290" u="1"/>
        <n v="56" u="1"/>
        <n v="119" u="1"/>
        <n v="181" u="1"/>
        <n v="319" u="1"/>
        <n v="33" u="1"/>
        <n v="73" u="1"/>
        <n v="231" u="1"/>
        <n v="98" u="1"/>
        <n v="210" u="1"/>
        <n v="58" u="1"/>
        <n v="189" u="1"/>
        <n v="35" u="1"/>
        <n v="77" u="1"/>
        <n v="168" u="1"/>
        <n v="239" u="1"/>
        <n v="102" u="1"/>
        <n v="147" u="1"/>
        <n v="197" u="1"/>
        <n v="37" u="1"/>
        <n v="81" u="1"/>
        <n v="176" u="1"/>
        <n v="247" u="1"/>
        <n v="1" u="1"/>
        <n v="106" u="1"/>
        <n v="155" u="1"/>
        <n v="3" u="1"/>
        <n v="134" u="1"/>
        <n v="205" u="1"/>
        <n v="8" u="1"/>
        <n v="39" u="1"/>
        <n v="85" u="1"/>
        <n v="184" u="1"/>
        <n v="110" u="1"/>
        <n v="64" u="1"/>
        <n v="142" u="1"/>
        <n v="213" u="1"/>
        <n v="312" u="1"/>
        <n v="41" u="1"/>
        <n v="192" u="1"/>
        <n v="171" u="1"/>
        <n v="242" u="1"/>
        <n v="150" u="1"/>
        <n v="221" u="1"/>
        <n v="43" u="1"/>
        <n v="129" u="1"/>
        <n v="200" u="1"/>
        <n v="286" u="1"/>
        <n v="118" u="1"/>
        <n v="315" u="1"/>
        <n v="72" u="1"/>
        <n v="229" u="1"/>
        <n v="273" u="1"/>
        <n v="45" u="1"/>
        <n v="137" u="1"/>
        <n v="76" u="1"/>
        <n v="237" u="1"/>
        <n v="289" u="1"/>
        <n v="47" u="1"/>
        <n v="101" u="1"/>
        <n v="145" u="1"/>
        <n v="216" u="1"/>
        <n v="318" u="1"/>
        <n v="126" u="1"/>
        <n v="195" u="1"/>
        <n v="80" u="1"/>
        <n v="174" u="1"/>
        <n v="245" u="1"/>
        <n v="305" u="1"/>
        <n v="49" u="1"/>
        <n v="153" u="1"/>
        <n v="224" u="1"/>
        <n v="29" u="1"/>
        <n v="132" u="1"/>
        <n v="84" u="1"/>
        <n v="253" u="1"/>
        <n v="51" u="1"/>
        <n v="109" u="1"/>
        <n v="161" u="1"/>
        <n v="30" u="1"/>
        <n v="140" u="1"/>
        <n v="190" u="1"/>
        <n v="53" u="1"/>
        <n v="169" u="1"/>
        <n v="240" u="1"/>
        <n v="31" u="1"/>
        <n v="148" u="1"/>
        <n v="219" u="1"/>
        <n v="4" u="1"/>
        <n v="198" u="1"/>
        <n v="55" u="1"/>
        <n v="117" u="1"/>
        <n v="248" u="1"/>
        <n v="32" u="1"/>
        <n v="71" u="1"/>
        <n v="227" u="1"/>
        <n v="269" u="1"/>
      </sharedItems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vn_kv" numFmtId="0">
      <sharedItems containsNonDate="0" containsString="0" containsBlank="1"/>
    </cacheField>
    <cacheField name="in_service" numFmtId="0">
      <sharedItems containsNonDate="0" containsString="0" containsBlank="1"/>
    </cacheField>
    <cacheField name="vm_pu" numFmtId="0">
      <sharedItems containsNonDate="0" containsString="0" containsBlank="1"/>
    </cacheField>
    <cacheField name="va_degree" numFmtId="0">
      <sharedItems containsNonDate="0" containsString="0" containsBlank="1"/>
    </cacheField>
    <cacheField name="p_mw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4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1" colPageCount="1"/>
  <pivotFields count="9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dataField="1" showAll="0"/>
    <pivotField showAll="0"/>
  </pivotFields>
  <rowFields count="1">
    <field x="0"/>
  </rowFields>
  <rowItems count="2">
    <i>
      <x v="20"/>
    </i>
    <i t="grand">
      <x/>
    </i>
  </rowItems>
  <colFields count="1">
    <field x="4"/>
  </colFields>
  <colItems count="2">
    <i>
      <x v="1"/>
    </i>
    <i t="grand">
      <x/>
    </i>
  </colItems>
  <pageFields count="1">
    <pageField fld="2" hier="-1"/>
  </pageFields>
  <dataFields count="1">
    <dataField name="Sum of p_mw" fld="7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462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A3:D7" firstHeaderRow="1" firstDataRow="3" firstDataCol="1" rowPageCount="1" colPageCount="1"/>
  <pivotFields count="16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6">
        <item m="1" x="3"/>
        <item m="1" x="4"/>
        <item m="1" x="1"/>
        <item x="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 v="20"/>
    </i>
    <i t="grand">
      <x/>
    </i>
  </rowItems>
  <colFields count="2">
    <field x="8"/>
    <field x="3"/>
  </colFields>
  <colItems count="3">
    <i>
      <x v="3"/>
      <x v="1"/>
    </i>
    <i t="default">
      <x v="3"/>
    </i>
    <i t="grand">
      <x/>
    </i>
  </colItems>
  <pageFields count="1">
    <pageField fld="2" hier="-1"/>
  </pageFields>
  <dataFields count="1">
    <dataField name="Sum of p_mw " fld="14" baseField="0" baseItem="0"/>
  </dataFields>
  <chartFormats count="8">
    <chartFormat chart="1" format="15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7" format="21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" format="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8" count="1" selected="0">
            <x v="3"/>
          </reference>
        </references>
      </pivotArea>
    </chartFormat>
    <chartFormat chart="7" format="2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4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8" firstHeaderRow="1" firstDataRow="3" firstDataCol="1" rowPageCount="1" colPageCount="1"/>
  <pivotFields count="16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axis="axisCol" showAll="0">
      <items count="6">
        <item m="1" x="3"/>
        <item m="1" x="4"/>
        <item m="1" x="1"/>
        <item x="0"/>
        <item m="1"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">
    <i>
      <x v="20"/>
    </i>
    <i t="grand">
      <x/>
    </i>
  </rowItems>
  <colFields count="2">
    <field x="8"/>
    <field x="3"/>
  </colFields>
  <colItems count="3">
    <i>
      <x v="3"/>
      <x v="1"/>
    </i>
    <i t="default">
      <x v="3"/>
    </i>
    <i t="grand">
      <x/>
    </i>
  </colItems>
  <pageFields count="1">
    <pageField fld="2" hier="-1"/>
  </pageFields>
  <dataFields count="1">
    <dataField name="Sum of p_mw 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4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C7" firstHeaderRow="1" firstDataRow="2" firstDataCol="1" rowPageCount="2" colPageCount="1"/>
  <pivotFields count="11">
    <pivotField axis="axisPage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axis="axisRow" showAll="0">
      <items count="181">
        <item m="1" x="1"/>
        <item m="1" x="106"/>
        <item m="1" x="44"/>
        <item m="1" x="109"/>
        <item m="1" x="171"/>
        <item m="1" x="22"/>
        <item m="1" x="47"/>
        <item m="1" x="79"/>
        <item m="1" x="112"/>
        <item m="1" x="155"/>
        <item m="1" x="162"/>
        <item m="1" x="168"/>
        <item m="1" x="176"/>
        <item m="1" x="88"/>
        <item m="1" x="4"/>
        <item m="1" x="95"/>
        <item m="1" x="11"/>
        <item m="1" x="102"/>
        <item m="1" x="19"/>
        <item m="1" x="113"/>
        <item m="1" x="28"/>
        <item m="1" x="121"/>
        <item m="1" x="33"/>
        <item m="1" x="127"/>
        <item m="1" x="37"/>
        <item m="1" x="136"/>
        <item m="1" x="45"/>
        <item m="1" x="141"/>
        <item m="1" x="51"/>
        <item m="1" x="152"/>
        <item m="1" x="58"/>
        <item m="1" x="159"/>
        <item m="1" x="66"/>
        <item m="1" x="165"/>
        <item m="1" x="75"/>
        <item m="1" x="173"/>
        <item m="1" x="84"/>
        <item m="1" x="3"/>
        <item m="1" x="93"/>
        <item m="1" x="117"/>
        <item m="1" x="70"/>
        <item m="1" x="177"/>
        <item m="1" x="133"/>
        <item m="1" x="89"/>
        <item m="1" x="41"/>
        <item m="1" x="5"/>
        <item m="1" x="138"/>
        <item m="1" x="96"/>
        <item m="1" x="48"/>
        <item m="1" x="12"/>
        <item m="1" x="148"/>
        <item m="1" x="103"/>
        <item m="1" x="55"/>
        <item m="1" x="20"/>
        <item m="1" x="157"/>
        <item m="1" x="114"/>
        <item m="1" x="64"/>
        <item m="1" x="81"/>
        <item m="1" x="38"/>
        <item m="1" x="91"/>
        <item m="1" x="8"/>
        <item m="1" x="142"/>
        <item m="1" x="99"/>
        <item m="1" x="52"/>
        <item m="1" x="16"/>
        <item m="1" x="107"/>
        <item m="1" x="59"/>
        <item m="1" x="23"/>
        <item m="1" x="160"/>
        <item m="1" x="116"/>
        <item m="1" x="67"/>
        <item m="1" x="35"/>
        <item m="1" x="174"/>
        <item m="1" x="131"/>
        <item m="1" x="85"/>
        <item m="1" x="40"/>
        <item m="1" x="146"/>
        <item m="1" x="128"/>
        <item m="1" x="82"/>
        <item m="1" x="156"/>
        <item m="1" x="39"/>
        <item m="1" x="110"/>
        <item m="1" x="62"/>
        <item m="1" x="137"/>
        <item m="1" x="26"/>
        <item m="1" x="163"/>
        <item m="1" x="46"/>
        <item m="1" x="118"/>
        <item m="1" x="9"/>
        <item m="1" x="71"/>
        <item m="1" x="143"/>
        <item m="1" x="32"/>
        <item m="1" x="100"/>
        <item m="1" x="169"/>
        <item m="1" x="53"/>
        <item m="1" x="125"/>
        <item m="1" x="153"/>
        <item m="1" x="108"/>
        <item m="1" x="60"/>
        <item m="1" x="24"/>
        <item m="1" x="161"/>
        <item m="1" x="42"/>
        <item m="1" x="30"/>
        <item m="1" x="97"/>
        <item m="1" x="166"/>
        <item m="1" x="49"/>
        <item m="1" x="123"/>
        <item m="1" x="13"/>
        <item m="1" x="76"/>
        <item m="1" x="149"/>
        <item m="1" x="104"/>
        <item m="1" x="56"/>
        <item m="1" x="86"/>
        <item m="1" x="115"/>
        <item m="1" x="65"/>
        <item m="1" x="29"/>
        <item m="1" x="94"/>
        <item m="1" x="164"/>
        <item m="1" x="122"/>
        <item m="1" x="74"/>
        <item m="1" x="147"/>
        <item m="1" x="34"/>
        <item m="1" x="101"/>
        <item m="1" x="172"/>
        <item m="1" x="54"/>
        <item m="1" x="129"/>
        <item m="1" x="17"/>
        <item m="1" x="111"/>
        <item m="1" x="63"/>
        <item m="1" x="92"/>
        <item m="1" x="119"/>
        <item m="1" x="72"/>
        <item m="1" x="144"/>
        <item m="1" x="170"/>
        <item m="1" x="126"/>
        <item m="1" x="80"/>
        <item m="1" x="154"/>
        <item m="1" x="178"/>
        <item m="1" x="134"/>
        <item m="1" x="90"/>
        <item m="1" x="6"/>
        <item m="1" x="68"/>
        <item m="1" x="139"/>
        <item m="1" x="31"/>
        <item m="1" x="98"/>
        <item m="1" x="167"/>
        <item m="1" x="50"/>
        <item m="1" x="124"/>
        <item m="1" x="14"/>
        <item m="1" x="77"/>
        <item m="1" x="150"/>
        <item m="1" x="36"/>
        <item m="1" x="105"/>
        <item m="1" x="175"/>
        <item m="1" x="158"/>
        <item m="1" x="179"/>
        <item m="1" x="61"/>
        <item m="1" x="135"/>
        <item m="1" x="25"/>
        <item m="1" x="43"/>
        <item m="1" x="7"/>
        <item m="1" x="130"/>
        <item m="1" x="69"/>
        <item m="1" x="18"/>
        <item m="1" x="140"/>
        <item m="1" x="83"/>
        <item m="1" x="2"/>
        <item m="1" x="15"/>
        <item m="1" x="78"/>
        <item m="1" x="27"/>
        <item m="1" x="151"/>
        <item m="1" x="120"/>
        <item m="1" x="57"/>
        <item m="1" x="10"/>
        <item m="1" x="132"/>
        <item m="1" x="73"/>
        <item m="1" x="21"/>
        <item m="1" x="145"/>
        <item m="1" x="87"/>
        <item x="0"/>
        <item t="default"/>
      </items>
    </pivotField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2">
    <i>
      <x v="179"/>
    </i>
    <i t="grand">
      <x/>
    </i>
  </rowItems>
  <colFields count="1">
    <field x="3"/>
  </colFields>
  <colItems count="2">
    <i>
      <x v="1"/>
    </i>
    <i t="grand">
      <x/>
    </i>
  </colItems>
  <pageFields count="2">
    <pageField fld="0" item="20" hier="-1"/>
    <pageField fld="2" hier="-1"/>
  </pageFields>
  <dataFields count="1">
    <dataField name="Sum of vm_pu" fld="7" baseField="0" baseItem="0"/>
  </dataFields>
  <chartFormats count="2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4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6" firstHeaderRow="0" firstDataRow="1" firstDataCol="1" rowPageCount="2" colPageCount="1"/>
  <pivotFields count="20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" hier="-1"/>
    <pageField fld="3" hier="-1"/>
  </pageFields>
  <dataFields count="3">
    <dataField name="Max of loading_percent" fld="19" subtotal="max" baseField="1" baseItem="92"/>
    <dataField name="Min of loading_percent" fld="19" subtotal="min" baseField="9" baseItem="0"/>
    <dataField name="Average of loading_percent" fld="19" subtotal="average" baseField="9" baseItem="0"/>
  </dataFields>
  <chartFormats count="3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4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C8" firstHeaderRow="1" firstDataRow="2" firstDataCol="1" rowPageCount="1" colPageCount="1"/>
  <pivotFields count="20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">
    <i>
      <x v="20"/>
    </i>
    <i t="grand">
      <x/>
    </i>
  </rowItems>
  <colFields count="1">
    <field x="3"/>
  </colFields>
  <colItems count="2">
    <i>
      <x v="1"/>
    </i>
    <i t="grand">
      <x/>
    </i>
  </colItems>
  <pageFields count="1">
    <pageField fld="2" hier="-1"/>
  </pageFields>
  <dataFields count="1">
    <dataField name="Sum of pl_mw" fld="17" baseField="0" baseItem="0"/>
  </dataFields>
  <chartFormats count="2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4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1" colPageCount="1"/>
  <pivotFields count="22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">
    <i>
      <x v="20"/>
    </i>
    <i t="grand">
      <x/>
    </i>
  </rowItems>
  <colFields count="1">
    <field x="3"/>
  </colFields>
  <colItems count="2">
    <i>
      <x v="1"/>
    </i>
    <i t="grand">
      <x/>
    </i>
  </colItems>
  <pageFields count="1">
    <pageField fld="2" hier="-1"/>
  </pageFields>
  <dataFields count="1">
    <dataField name="Sum of pl_mw" fld="19" baseField="0" baseItem="0"/>
  </dataFields>
  <chartFormats count="3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4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6" firstHeaderRow="0" firstDataRow="1" firstDataCol="1" rowPageCount="2" colPageCount="1"/>
  <pivotFields count="22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" hier="-1"/>
    <pageField fld="3" hier="-1"/>
  </pageFields>
  <dataFields count="3">
    <dataField name="Max of loading_percent" fld="21" subtotal="max" baseField="9" baseItem="0"/>
    <dataField name="Min of loading_percent" fld="21" subtotal="min" baseField="0" baseItem="1"/>
    <dataField name="Average of loading_percent" fld="21" subtotal="average" baseField="0" baseItem="1"/>
  </dataFields>
  <chartFormats count="3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K5" insertRow="1" totalsRowShown="0" headerRowDxfId="46">
  <autoFilter ref="C4:K5" xr:uid="{F70524AC-4D0C-4F6F-A520-5F2E811A4CE7}"/>
  <tableColumns count="9">
    <tableColumn id="8" xr3:uid="{F2EDA2BF-F8AF-4203-B2F3-7B905739D61D}" name="step"/>
    <tableColumn id="2" xr3:uid="{B772E291-FFCF-435F-BA86-441C27B45317}" name="index"/>
    <tableColumn id="6" xr3:uid="{F34866B0-8C59-4E6A-971A-410FD72E665F}" name="scenario"/>
    <tableColumn id="9" xr3:uid="{FF71EFE4-42BF-419B-90C7-B2A6B8AF3B26}" name="name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R5" insertRow="1" totalsRowShown="0" headerRowDxfId="45">
  <autoFilter ref="C4:R5" xr:uid="{40ACD7C8-06B8-4AD2-9918-9A9EC5FBCE6A}"/>
  <tableColumns count="16">
    <tableColumn id="16" xr3:uid="{FD185B91-B49F-4E9A-9642-5A784F589DF7}" name="Step"/>
    <tableColumn id="12" xr3:uid="{E4E850D8-E7A0-480C-818B-F24B641F7A3C}" name="index" dataDxfId="44"/>
    <tableColumn id="13" xr3:uid="{CE11B4F1-069D-41C5-B837-20DBEE65490C}" name="scenario" dataDxfId="43"/>
    <tableColumn id="1" xr3:uid="{1D308122-CF3C-45A3-A0E8-6BFFBF1E2E0A}" name="zone"/>
    <tableColumn id="2" xr3:uid="{7F7D4208-FA89-433B-8D20-8B82046C31BF}" name="name"/>
    <tableColumn id="14" xr3:uid="{BFB11B01-34E2-4E2E-89F2-B4A22EF85F4E}" name="type"/>
    <tableColumn id="15" xr3:uid="{8AB767E0-F162-4365-88BE-6017F79A4662}" name="bus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M5" insertRow="1" totalsRowShown="0">
  <autoFilter ref="C4:M5" xr:uid="{99E76C2C-375C-47C1-A9AD-8417B088B6FC}"/>
  <tableColumns count="11">
    <tableColumn id="10" xr3:uid="{4B4D838B-4D4B-4447-AA54-623C16D775A5}" name="step"/>
    <tableColumn id="1" xr3:uid="{8D5D3D19-C9FB-4B3C-9A8E-18DDDD81AA15}" name="index"/>
    <tableColumn id="11" xr3:uid="{AA18DDFC-F29B-405C-B46F-6B0211BCD99C}" name="scenario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V5" insertRow="1" totalsRowShown="0">
  <autoFilter ref="C4:V5" xr:uid="{EE8232FA-505B-4CE4-B934-04B27D52E9CB}"/>
  <tableColumns count="20">
    <tableColumn id="19" xr3:uid="{54142960-63F9-4F3B-9473-5E4553BD8277}" name="step"/>
    <tableColumn id="1" xr3:uid="{F4CA92FE-BBA3-4697-B61E-D4DD00F4DDB7}" name="index"/>
    <tableColumn id="20" xr3:uid="{87DA94BF-43EF-4808-94B8-93F23E19E180}" name="scenario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X5" insertRow="1" totalsRowShown="0" headerRowDxfId="42" dataDxfId="41">
  <autoFilter ref="C4:X5" xr:uid="{4A6D9FFD-CCDD-4F93-B041-EED5046675B6}"/>
  <tableColumns count="22">
    <tableColumn id="20" xr3:uid="{C4E1602D-7141-40CE-B787-D81D4476E1AB}" name="step"/>
    <tableColumn id="1" xr3:uid="{FB053CC0-0CFB-40BF-9A87-324F3ABE29A7}" name="index" dataDxfId="40" totalsRowDxfId="39"/>
    <tableColumn id="21" xr3:uid="{956DD5C8-C357-4B29-89FA-32F2E10CF7BC}" name="scenario" totalsRowDxfId="38"/>
    <tableColumn id="14" xr3:uid="{443B4109-D1B2-4010-B9ED-C161E6AFF1A8}" name="zone" dataDxfId="37" totalsRowDxfId="36"/>
    <tableColumn id="3" xr3:uid="{AED4F457-E25A-4D1D-B00F-34A4978C0F78}" name="name" dataDxfId="35" totalsRowDxfId="34"/>
    <tableColumn id="4" xr3:uid="{3C3AC128-75C3-4223-BACC-1A360EDFCDE5}" name="std_type" dataDxfId="33" totalsRowDxfId="32"/>
    <tableColumn id="5" xr3:uid="{5C767913-1D80-45C8-8C6F-7E57D189AF44}" name="hv_bus" dataDxfId="31" totalsRowDxfId="30"/>
    <tableColumn id="6" xr3:uid="{917BEB67-D7C1-4A83-96A1-F319E5A05A44}" name="lv_bus" dataDxfId="29" totalsRowDxfId="28"/>
    <tableColumn id="8" xr3:uid="{8DCB1719-ACB3-4AED-86BD-D9B68732C278}" name="vn_hv_kv" dataDxfId="27" totalsRowDxfId="26"/>
    <tableColumn id="10" xr3:uid="{62D607C6-83CF-455F-8C23-39C4B984D758}" name="vn_lv_kv" dataDxfId="25" totalsRowDxfId="24"/>
    <tableColumn id="11" xr3:uid="{D6AEC090-00BF-4CF1-ACD8-524B252EC663}" name="pfe_kw" dataDxfId="23" totalsRowDxfId="22"/>
    <tableColumn id="12" xr3:uid="{3AF3ADA4-4F57-412A-9FE8-F645C3508885}" name="shift_degree" dataDxfId="21" totalsRowDxfId="20"/>
    <tableColumn id="13" xr3:uid="{E46757C4-CE46-491E-86BE-E8A4317E6E93}" name="tap_pos" dataDxfId="19" totalsRowDxfId="18"/>
    <tableColumn id="2" xr3:uid="{C6F54DD4-2C44-4DE0-92C5-B5397E16B87A}" name="parallel" dataDxfId="17" totalsRowDxfId="16"/>
    <tableColumn id="7" xr3:uid="{60E8F0ED-D51D-42AE-B712-6D061F8D1EE0}" name="in_service" dataDxfId="15" totalsRowDxfId="14"/>
    <tableColumn id="15" xr3:uid="{3A4390BD-6B26-46A1-AE40-6398D8A806F9}" name="p_hv_mw" dataDxfId="13" totalsRowDxfId="12"/>
    <tableColumn id="16" xr3:uid="{4DD91469-F741-4D3D-948E-6556783D042C}" name="q_hv_mvar" dataDxfId="11" totalsRowDxfId="10"/>
    <tableColumn id="17" xr3:uid="{858B54E5-9CFB-4B90-84AA-07C4A8CDC8F1}" name="p_lv_mw" dataDxfId="9" totalsRowDxfId="8"/>
    <tableColumn id="18" xr3:uid="{C86231DF-FF48-47D3-A51C-74FBA23B5E0B}" name="q_lv_mvar" dataDxfId="7" totalsRowDxfId="6"/>
    <tableColumn id="23" xr3:uid="{AC6F6CA0-E489-43EB-B5EB-B1BB000C2711}" name="pl_mw" dataDxfId="5" totalsRowDxfId="4"/>
    <tableColumn id="9" xr3:uid="{0C63F6CB-B4E0-4E09-BBD7-2629F424B3EF}" name="ql_mvar" dataDxfId="3" totalsRowDxfId="2"/>
    <tableColumn id="19" xr3:uid="{2658E29B-D78D-496B-A082-3304FA22AB36}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tabSelected="1" workbookViewId="0">
      <selection activeCell="I24" sqref="I2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ashboard_create">
                <anchor moveWithCells="1" sizeWithCells="1">
                  <from>
                    <xdr:col>0</xdr:col>
                    <xdr:colOff>600075</xdr:colOff>
                    <xdr:row>3</xdr:row>
                    <xdr:rowOff>19050</xdr:rowOff>
                  </from>
                  <to>
                    <xdr:col>4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19050</xdr:colOff>
                    <xdr:row>9</xdr:row>
                    <xdr:rowOff>9525</xdr:rowOff>
                  </from>
                  <to>
                    <xdr:col>4</xdr:col>
                    <xdr:colOff>581025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19050</xdr:colOff>
                    <xdr:row>11</xdr:row>
                    <xdr:rowOff>19050</xdr:rowOff>
                  </from>
                  <to>
                    <xdr:col>4</xdr:col>
                    <xdr:colOff>571500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view">
                <anchor moveWithCells="1" sizeWithCells="1">
                  <from>
                    <xdr:col>1</xdr:col>
                    <xdr:colOff>9525</xdr:colOff>
                    <xdr:row>6</xdr:row>
                    <xdr:rowOff>57150</xdr:rowOff>
                  </from>
                  <to>
                    <xdr:col>4</xdr:col>
                    <xdr:colOff>571500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topLeftCell="A70" zoomScale="145" zoomScaleNormal="145" workbookViewId="0">
      <selection activeCell="AA5" sqref="AA5"/>
    </sheetView>
  </sheetViews>
  <sheetFormatPr defaultRowHeight="15" x14ac:dyDescent="0.25"/>
  <cols>
    <col min="1" max="1" width="1.5703125" customWidth="1"/>
    <col min="2" max="2" width="12" customWidth="1"/>
  </cols>
  <sheetData>
    <row r="1" ht="6.7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K6"/>
  <sheetViews>
    <sheetView workbookViewId="0">
      <selection activeCell="D52" sqref="D52"/>
    </sheetView>
  </sheetViews>
  <sheetFormatPr defaultRowHeight="15" x14ac:dyDescent="0.25"/>
  <cols>
    <col min="2" max="2" width="12.7109375" customWidth="1"/>
    <col min="3" max="3" width="9" bestFit="1" customWidth="1"/>
    <col min="4" max="4" width="10" bestFit="1" customWidth="1"/>
    <col min="5" max="6" width="10" customWidth="1"/>
    <col min="7" max="7" width="9.42578125" bestFit="1" customWidth="1"/>
    <col min="8" max="8" width="9.140625" bestFit="1" customWidth="1"/>
    <col min="9" max="9" width="13.7109375" bestFit="1" customWidth="1"/>
    <col min="10" max="10" width="12" bestFit="1" customWidth="1"/>
    <col min="11" max="11" width="14" bestFit="1" customWidth="1"/>
  </cols>
  <sheetData>
    <row r="2" spans="2:11" ht="21" x14ac:dyDescent="0.25">
      <c r="C2" s="15" t="s">
        <v>8</v>
      </c>
      <c r="D2" s="15"/>
      <c r="E2" s="15"/>
      <c r="F2" s="15"/>
      <c r="G2" s="15"/>
      <c r="H2" s="15"/>
      <c r="I2" s="15"/>
      <c r="J2" s="15"/>
      <c r="K2" s="15"/>
    </row>
    <row r="3" spans="2:11" ht="45.75" thickBot="1" x14ac:dyDescent="0.3">
      <c r="B3" s="9" t="s">
        <v>50</v>
      </c>
      <c r="C3" s="11" t="s">
        <v>30</v>
      </c>
      <c r="D3" s="11" t="s">
        <v>11</v>
      </c>
      <c r="E3" s="11" t="s">
        <v>117</v>
      </c>
      <c r="F3" s="11" t="s">
        <v>1</v>
      </c>
      <c r="G3" s="11" t="s">
        <v>0</v>
      </c>
      <c r="H3" s="11" t="s">
        <v>9</v>
      </c>
      <c r="I3" s="11" t="s">
        <v>10</v>
      </c>
      <c r="J3" s="11" t="s">
        <v>4</v>
      </c>
      <c r="K3" s="11" t="s">
        <v>5</v>
      </c>
    </row>
    <row r="4" spans="2:11" ht="30.75" thickBot="1" x14ac:dyDescent="0.3">
      <c r="B4" s="9" t="s">
        <v>49</v>
      </c>
      <c r="C4" s="3" t="s">
        <v>53</v>
      </c>
      <c r="D4" s="12" t="s">
        <v>54</v>
      </c>
      <c r="E4" s="12" t="s">
        <v>118</v>
      </c>
      <c r="F4" s="12" t="s">
        <v>56</v>
      </c>
      <c r="G4" s="12" t="s">
        <v>55</v>
      </c>
      <c r="H4" s="12" t="s">
        <v>88</v>
      </c>
      <c r="I4" s="12" t="s">
        <v>59</v>
      </c>
      <c r="J4" s="12" t="s">
        <v>86</v>
      </c>
      <c r="K4" s="12" t="s">
        <v>87</v>
      </c>
    </row>
    <row r="5" spans="2:11" x14ac:dyDescent="0.25">
      <c r="B5" s="9"/>
      <c r="C5" s="4"/>
    </row>
    <row r="6" spans="2:11" x14ac:dyDescent="0.25">
      <c r="C6" s="5"/>
    </row>
  </sheetData>
  <mergeCells count="1">
    <mergeCell ref="C2:K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R6"/>
  <sheetViews>
    <sheetView workbookViewId="0">
      <selection activeCell="E3" sqref="E3"/>
    </sheetView>
  </sheetViews>
  <sheetFormatPr defaultRowHeight="15" x14ac:dyDescent="0.25"/>
  <cols>
    <col min="1" max="1" width="6" customWidth="1"/>
    <col min="2" max="2" width="11.7109375" bestFit="1" customWidth="1"/>
    <col min="4" max="5" width="11.140625" customWidth="1"/>
    <col min="6" max="6" width="10.5703125" bestFit="1" customWidth="1"/>
    <col min="7" max="7" width="10" bestFit="1" customWidth="1"/>
    <col min="8" max="9" width="10" customWidth="1"/>
    <col min="10" max="10" width="11.42578125" customWidth="1"/>
    <col min="11" max="11" width="10.85546875" bestFit="1" customWidth="1"/>
    <col min="12" max="12" width="12.42578125" bestFit="1" customWidth="1"/>
    <col min="13" max="13" width="12" bestFit="1" customWidth="1"/>
    <col min="14" max="14" width="12.42578125" bestFit="1" customWidth="1"/>
    <col min="15" max="15" width="15.28515625" customWidth="1"/>
    <col min="16" max="16" width="14.140625" customWidth="1"/>
    <col min="17" max="18" width="14.85546875" customWidth="1"/>
  </cols>
  <sheetData>
    <row r="2" spans="2:18" ht="21" x14ac:dyDescent="0.25">
      <c r="C2" s="15" t="s">
        <v>44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</row>
    <row r="3" spans="2:18" ht="60.75" thickBot="1" x14ac:dyDescent="0.3">
      <c r="B3" s="9" t="s">
        <v>50</v>
      </c>
      <c r="C3" s="3" t="s">
        <v>30</v>
      </c>
      <c r="D3" s="6" t="s">
        <v>16</v>
      </c>
      <c r="E3" s="6" t="s">
        <v>117</v>
      </c>
      <c r="F3" s="6" t="s">
        <v>0</v>
      </c>
      <c r="G3" s="6" t="s">
        <v>1</v>
      </c>
      <c r="H3" s="6" t="s">
        <v>108</v>
      </c>
      <c r="I3" s="6" t="s">
        <v>9</v>
      </c>
      <c r="J3" s="6" t="s">
        <v>2</v>
      </c>
      <c r="K3" s="6" t="s">
        <v>105</v>
      </c>
      <c r="L3" s="6" t="s">
        <v>106</v>
      </c>
      <c r="M3" s="6" t="s">
        <v>12</v>
      </c>
      <c r="N3" s="6" t="s">
        <v>13</v>
      </c>
      <c r="O3" s="6" t="s">
        <v>15</v>
      </c>
      <c r="P3" s="6" t="s">
        <v>14</v>
      </c>
      <c r="Q3" s="6" t="s">
        <v>17</v>
      </c>
      <c r="R3" s="6" t="s">
        <v>18</v>
      </c>
    </row>
    <row r="4" spans="2:18" s="12" customFormat="1" ht="30" x14ac:dyDescent="0.25">
      <c r="B4" s="6" t="s">
        <v>49</v>
      </c>
      <c r="C4" s="12" t="s">
        <v>31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107</v>
      </c>
      <c r="I4" s="12" t="s">
        <v>88</v>
      </c>
      <c r="J4" s="12" t="s">
        <v>59</v>
      </c>
      <c r="K4" s="12" t="s">
        <v>99</v>
      </c>
      <c r="L4" s="12" t="s">
        <v>84</v>
      </c>
      <c r="M4" s="12" t="s">
        <v>100</v>
      </c>
      <c r="N4" s="12" t="s">
        <v>101</v>
      </c>
      <c r="O4" s="12" t="s">
        <v>102</v>
      </c>
      <c r="P4" s="12" t="s">
        <v>103</v>
      </c>
      <c r="Q4" s="12" t="s">
        <v>104</v>
      </c>
      <c r="R4" s="12" t="s">
        <v>87</v>
      </c>
    </row>
    <row r="5" spans="2:18" x14ac:dyDescent="0.25">
      <c r="B5" s="9"/>
      <c r="C5" s="4"/>
      <c r="D5" s="14"/>
      <c r="E5" s="14"/>
    </row>
    <row r="6" spans="2:18" x14ac:dyDescent="0.25">
      <c r="C6" s="5"/>
    </row>
  </sheetData>
  <mergeCells count="1">
    <mergeCell ref="C2:R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M6"/>
  <sheetViews>
    <sheetView workbookViewId="0">
      <selection activeCell="F11" sqref="F11"/>
    </sheetView>
  </sheetViews>
  <sheetFormatPr defaultRowHeight="15" x14ac:dyDescent="0.25"/>
  <cols>
    <col min="1" max="1" width="5" customWidth="1"/>
    <col min="2" max="2" width="11.7109375" bestFit="1" customWidth="1"/>
    <col min="3" max="3" width="9" bestFit="1" customWidth="1"/>
    <col min="4" max="4" width="10" bestFit="1" customWidth="1"/>
    <col min="5" max="5" width="10" customWidth="1"/>
    <col min="6" max="6" width="9.42578125" bestFit="1" customWidth="1"/>
    <col min="7" max="7" width="10.28515625" bestFit="1" customWidth="1"/>
    <col min="8" max="8" width="12.28515625" bestFit="1" customWidth="1"/>
    <col min="9" max="9" width="13.7109375" bestFit="1" customWidth="1"/>
    <col min="10" max="10" width="11.28515625" bestFit="1" customWidth="1"/>
    <col min="11" max="11" width="14.28515625" bestFit="1" customWidth="1"/>
    <col min="12" max="12" width="12" bestFit="1" customWidth="1"/>
    <col min="13" max="13" width="14" bestFit="1" customWidth="1"/>
  </cols>
  <sheetData>
    <row r="1" spans="2:13" ht="15.6" customHeight="1" x14ac:dyDescent="0.25"/>
    <row r="2" spans="2:13" ht="21" x14ac:dyDescent="0.25">
      <c r="C2" s="15" t="s">
        <v>29</v>
      </c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2:13" ht="45.75" thickBot="1" x14ac:dyDescent="0.3">
      <c r="B3" s="9" t="s">
        <v>50</v>
      </c>
      <c r="C3" s="11" t="s">
        <v>30</v>
      </c>
      <c r="D3" s="11" t="s">
        <v>9</v>
      </c>
      <c r="E3" s="11" t="s">
        <v>117</v>
      </c>
      <c r="F3" s="11" t="s">
        <v>0</v>
      </c>
      <c r="G3" s="11" t="s">
        <v>1</v>
      </c>
      <c r="H3" s="11" t="s">
        <v>6</v>
      </c>
      <c r="I3" s="11" t="s">
        <v>2</v>
      </c>
      <c r="J3" s="11" t="s">
        <v>3</v>
      </c>
      <c r="K3" s="11" t="s">
        <v>7</v>
      </c>
      <c r="L3" s="11" t="s">
        <v>4</v>
      </c>
      <c r="M3" s="11" t="s">
        <v>5</v>
      </c>
    </row>
    <row r="4" spans="2:13" s="1" customFormat="1" ht="28.9" customHeight="1" x14ac:dyDescent="0.25">
      <c r="B4" s="9" t="s">
        <v>49</v>
      </c>
      <c r="C4" s="12" t="s">
        <v>53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83</v>
      </c>
      <c r="I4" s="12" t="s">
        <v>59</v>
      </c>
      <c r="J4" s="12" t="s">
        <v>84</v>
      </c>
      <c r="K4" s="12" t="s">
        <v>85</v>
      </c>
      <c r="L4" s="12" t="s">
        <v>86</v>
      </c>
      <c r="M4" s="12" t="s">
        <v>87</v>
      </c>
    </row>
    <row r="5" spans="2:13" x14ac:dyDescent="0.25">
      <c r="B5" s="9"/>
      <c r="C5" s="4"/>
    </row>
    <row r="6" spans="2:13" x14ac:dyDescent="0.25">
      <c r="C6" s="5"/>
    </row>
  </sheetData>
  <mergeCells count="1">
    <mergeCell ref="C2:M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V6"/>
  <sheetViews>
    <sheetView topLeftCell="A2" workbookViewId="0">
      <selection activeCell="G8" sqref="G8"/>
    </sheetView>
  </sheetViews>
  <sheetFormatPr defaultRowHeight="15" x14ac:dyDescent="0.25"/>
  <cols>
    <col min="1" max="1" width="5.28515625" customWidth="1"/>
    <col min="2" max="2" width="11.7109375" bestFit="1" customWidth="1"/>
    <col min="3" max="3" width="9" bestFit="1" customWidth="1"/>
    <col min="4" max="4" width="10" bestFit="1" customWidth="1"/>
    <col min="5" max="5" width="10" customWidth="1"/>
    <col min="6" max="6" width="9.42578125" bestFit="1" customWidth="1"/>
    <col min="7" max="7" width="10.28515625" bestFit="1" customWidth="1"/>
    <col min="8" max="8" width="12.7109375" bestFit="1" customWidth="1"/>
    <col min="9" max="9" width="11.28515625" bestFit="1" customWidth="1"/>
    <col min="10" max="11" width="12.7109375" bestFit="1" customWidth="1"/>
    <col min="12" max="12" width="12.42578125" bestFit="1" customWidth="1"/>
    <col min="13" max="13" width="15" bestFit="1" customWidth="1"/>
    <col min="14" max="14" width="11.5703125" bestFit="1" customWidth="1"/>
    <col min="15" max="16" width="12.7109375" bestFit="1" customWidth="1"/>
    <col min="17" max="17" width="17" bestFit="1" customWidth="1"/>
    <col min="18" max="18" width="13.42578125" bestFit="1" customWidth="1"/>
    <col min="19" max="19" width="14.7109375" bestFit="1" customWidth="1"/>
    <col min="20" max="21" width="12.28515625" bestFit="1" customWidth="1"/>
    <col min="22" max="22" width="12.7109375" bestFit="1" customWidth="1"/>
  </cols>
  <sheetData>
    <row r="2" spans="2:22" ht="21" x14ac:dyDescent="0.25">
      <c r="C2" s="15" t="s">
        <v>19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</row>
    <row r="3" spans="2:22" ht="45.75" thickBot="1" x14ac:dyDescent="0.3">
      <c r="B3" s="9" t="s">
        <v>50</v>
      </c>
      <c r="C3" s="13" t="s">
        <v>31</v>
      </c>
      <c r="D3" s="13" t="s">
        <v>20</v>
      </c>
      <c r="E3" s="13" t="s">
        <v>117</v>
      </c>
      <c r="F3" s="13" t="s">
        <v>0</v>
      </c>
      <c r="G3" s="13" t="s">
        <v>89</v>
      </c>
      <c r="H3" s="13" t="s">
        <v>91</v>
      </c>
      <c r="I3" s="13" t="s">
        <v>90</v>
      </c>
      <c r="J3" s="13" t="s">
        <v>2</v>
      </c>
      <c r="K3" s="13" t="s">
        <v>21</v>
      </c>
      <c r="L3" s="13" t="s">
        <v>92</v>
      </c>
      <c r="M3" s="13" t="s">
        <v>22</v>
      </c>
      <c r="N3" s="13" t="s">
        <v>23</v>
      </c>
      <c r="O3" s="13" t="s">
        <v>24</v>
      </c>
      <c r="P3" s="13" t="s">
        <v>25</v>
      </c>
      <c r="Q3" s="13" t="s">
        <v>93</v>
      </c>
      <c r="R3" s="13" t="s">
        <v>26</v>
      </c>
      <c r="S3" s="13" t="s">
        <v>27</v>
      </c>
      <c r="T3" s="13" t="s">
        <v>94</v>
      </c>
      <c r="U3" s="13" t="s">
        <v>95</v>
      </c>
      <c r="V3" s="13" t="s">
        <v>51</v>
      </c>
    </row>
    <row r="4" spans="2:22" ht="46.5" customHeight="1" x14ac:dyDescent="0.25">
      <c r="B4" s="9" t="s">
        <v>49</v>
      </c>
      <c r="C4" s="2" t="s">
        <v>53</v>
      </c>
      <c r="D4" s="2" t="s">
        <v>54</v>
      </c>
      <c r="E4" s="2" t="s">
        <v>118</v>
      </c>
      <c r="F4" s="2" t="s">
        <v>55</v>
      </c>
      <c r="G4" s="2" t="s">
        <v>56</v>
      </c>
      <c r="H4" s="2" t="s">
        <v>57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" t="s">
        <v>63</v>
      </c>
      <c r="O4" s="2" t="s">
        <v>64</v>
      </c>
      <c r="P4" s="2" t="s">
        <v>65</v>
      </c>
      <c r="Q4" s="2" t="s">
        <v>66</v>
      </c>
      <c r="R4" s="2" t="s">
        <v>67</v>
      </c>
      <c r="S4" s="2" t="s">
        <v>68</v>
      </c>
      <c r="T4" s="2" t="s">
        <v>69</v>
      </c>
      <c r="U4" s="2" t="s">
        <v>70</v>
      </c>
      <c r="V4" s="2" t="s">
        <v>71</v>
      </c>
    </row>
    <row r="5" spans="2:22" x14ac:dyDescent="0.25">
      <c r="B5" s="9"/>
      <c r="C5" s="4"/>
    </row>
    <row r="6" spans="2:22" x14ac:dyDescent="0.25">
      <c r="C6" s="5"/>
    </row>
  </sheetData>
  <mergeCells count="1">
    <mergeCell ref="C2:V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X5"/>
  <sheetViews>
    <sheetView topLeftCell="B1" workbookViewId="0">
      <selection activeCell="E5" sqref="E5"/>
    </sheetView>
  </sheetViews>
  <sheetFormatPr defaultRowHeight="15" x14ac:dyDescent="0.25"/>
  <cols>
    <col min="1" max="1" width="3.7109375" customWidth="1"/>
    <col min="2" max="2" width="11.7109375" bestFit="1" customWidth="1"/>
    <col min="7" max="7" width="9" customWidth="1"/>
    <col min="12" max="12" width="11.28515625" customWidth="1"/>
    <col min="13" max="13" width="9.7109375" customWidth="1"/>
    <col min="14" max="14" width="10.7109375" customWidth="1"/>
  </cols>
  <sheetData>
    <row r="2" spans="2:24" ht="21" x14ac:dyDescent="0.25">
      <c r="C2" s="15" t="s">
        <v>28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2:24" ht="60.75" thickBot="1" x14ac:dyDescent="0.3">
      <c r="B3" s="9" t="s">
        <v>50</v>
      </c>
      <c r="C3" s="11" t="s">
        <v>30</v>
      </c>
      <c r="D3" s="11" t="s">
        <v>32</v>
      </c>
      <c r="E3" s="11" t="s">
        <v>117</v>
      </c>
      <c r="F3" s="11" t="s">
        <v>0</v>
      </c>
      <c r="G3" s="11" t="s">
        <v>1</v>
      </c>
      <c r="H3" s="11" t="s">
        <v>34</v>
      </c>
      <c r="I3" s="11" t="s">
        <v>96</v>
      </c>
      <c r="J3" s="11" t="s">
        <v>97</v>
      </c>
      <c r="K3" s="11" t="s">
        <v>35</v>
      </c>
      <c r="L3" s="11" t="s">
        <v>36</v>
      </c>
      <c r="M3" s="11" t="s">
        <v>37</v>
      </c>
      <c r="N3" s="11" t="s">
        <v>38</v>
      </c>
      <c r="O3" s="11" t="s">
        <v>39</v>
      </c>
      <c r="P3" s="11" t="s">
        <v>33</v>
      </c>
      <c r="Q3" s="11" t="s">
        <v>2</v>
      </c>
      <c r="R3" s="11" t="s">
        <v>40</v>
      </c>
      <c r="S3" s="11" t="s">
        <v>41</v>
      </c>
      <c r="T3" s="11" t="s">
        <v>42</v>
      </c>
      <c r="U3" s="11" t="s">
        <v>43</v>
      </c>
      <c r="V3" s="11" t="s">
        <v>94</v>
      </c>
      <c r="W3" s="11" t="s">
        <v>98</v>
      </c>
      <c r="X3" s="11" t="s">
        <v>52</v>
      </c>
    </row>
    <row r="4" spans="2:24" ht="30" x14ac:dyDescent="0.25">
      <c r="B4" s="9" t="s">
        <v>49</v>
      </c>
      <c r="C4" s="12" t="s">
        <v>53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64</v>
      </c>
      <c r="I4" s="12" t="s">
        <v>72</v>
      </c>
      <c r="J4" s="12" t="s">
        <v>73</v>
      </c>
      <c r="K4" s="12" t="s">
        <v>74</v>
      </c>
      <c r="L4" s="12" t="s">
        <v>75</v>
      </c>
      <c r="M4" s="12" t="s">
        <v>76</v>
      </c>
      <c r="N4" s="12" t="s">
        <v>77</v>
      </c>
      <c r="O4" s="12" t="s">
        <v>78</v>
      </c>
      <c r="P4" s="12" t="s">
        <v>63</v>
      </c>
      <c r="Q4" s="12" t="s">
        <v>59</v>
      </c>
      <c r="R4" s="12" t="s">
        <v>79</v>
      </c>
      <c r="S4" s="12" t="s">
        <v>80</v>
      </c>
      <c r="T4" s="12" t="s">
        <v>81</v>
      </c>
      <c r="U4" s="12" t="s">
        <v>82</v>
      </c>
      <c r="V4" s="12" t="s">
        <v>69</v>
      </c>
      <c r="W4" s="12" t="s">
        <v>70</v>
      </c>
      <c r="X4" s="6" t="s">
        <v>71</v>
      </c>
    </row>
    <row r="5" spans="2:24" x14ac:dyDescent="0.25">
      <c r="B5" s="9"/>
      <c r="C5" s="4"/>
      <c r="X5" s="10"/>
    </row>
  </sheetData>
  <mergeCells count="1">
    <mergeCell ref="C2:X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5D4C-A10A-4718-B3D1-12FD2DD2AB2B}">
  <sheetPr codeName="Sheet16"/>
  <dimension ref="A1"/>
  <sheetViews>
    <sheetView workbookViewId="0">
      <selection activeCell="H45" sqref="H45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2:C7"/>
  <sheetViews>
    <sheetView workbookViewId="0">
      <selection activeCell="H4" sqref="H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1.28515625" bestFit="1" customWidth="1"/>
  </cols>
  <sheetData>
    <row r="2" spans="1:3" x14ac:dyDescent="0.25">
      <c r="A2" s="7" t="s">
        <v>118</v>
      </c>
      <c r="B2" t="s">
        <v>47</v>
      </c>
    </row>
    <row r="4" spans="1:3" x14ac:dyDescent="0.25">
      <c r="A4" s="7" t="s">
        <v>109</v>
      </c>
      <c r="B4" s="7" t="s">
        <v>48</v>
      </c>
    </row>
    <row r="5" spans="1:3" x14ac:dyDescent="0.25">
      <c r="A5" s="7" t="s">
        <v>45</v>
      </c>
      <c r="B5" t="s">
        <v>116</v>
      </c>
      <c r="C5" t="s">
        <v>46</v>
      </c>
    </row>
    <row r="6" spans="1:3" x14ac:dyDescent="0.25">
      <c r="A6" s="8" t="s">
        <v>116</v>
      </c>
      <c r="B6" s="16"/>
      <c r="C6" s="16"/>
    </row>
    <row r="7" spans="1:3" x14ac:dyDescent="0.25">
      <c r="A7" s="8" t="s">
        <v>46</v>
      </c>
      <c r="B7" s="16"/>
      <c r="C7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A1:D7"/>
  <sheetViews>
    <sheetView workbookViewId="0">
      <selection activeCell="AG28" sqref="AG28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12.140625" bestFit="1" customWidth="1"/>
    <col min="4" max="4" width="11.28515625" bestFit="1" customWidth="1"/>
    <col min="5" max="5" width="7.140625" bestFit="1" customWidth="1"/>
    <col min="6" max="6" width="13.28515625" bestFit="1" customWidth="1"/>
    <col min="7" max="8" width="12.42578125" bestFit="1" customWidth="1"/>
  </cols>
  <sheetData>
    <row r="1" spans="1:4" x14ac:dyDescent="0.25">
      <c r="A1" s="7" t="s">
        <v>118</v>
      </c>
      <c r="B1" t="s">
        <v>47</v>
      </c>
    </row>
    <row r="3" spans="1:4" x14ac:dyDescent="0.25">
      <c r="A3" s="7" t="s">
        <v>110</v>
      </c>
      <c r="B3" s="7" t="s">
        <v>48</v>
      </c>
    </row>
    <row r="4" spans="1:4" x14ac:dyDescent="0.25">
      <c r="B4" t="s">
        <v>116</v>
      </c>
      <c r="C4" t="s">
        <v>119</v>
      </c>
      <c r="D4" t="s">
        <v>46</v>
      </c>
    </row>
    <row r="5" spans="1:4" x14ac:dyDescent="0.25">
      <c r="A5" s="7" t="s">
        <v>45</v>
      </c>
      <c r="B5" t="s">
        <v>116</v>
      </c>
    </row>
    <row r="6" spans="1:4" x14ac:dyDescent="0.25">
      <c r="A6" s="8" t="s">
        <v>116</v>
      </c>
      <c r="B6" s="16"/>
      <c r="C6" s="16"/>
      <c r="D6" s="16"/>
    </row>
    <row r="7" spans="1:4" x14ac:dyDescent="0.25">
      <c r="A7" s="8" t="s">
        <v>46</v>
      </c>
      <c r="B7" s="16"/>
      <c r="C7" s="16"/>
      <c r="D7" s="1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2:D8"/>
  <sheetViews>
    <sheetView workbookViewId="0">
      <selection activeCell="A5" sqref="A5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12.140625" bestFit="1" customWidth="1"/>
    <col min="4" max="5" width="11.28515625" bestFit="1" customWidth="1"/>
    <col min="6" max="6" width="15.140625" bestFit="1" customWidth="1"/>
    <col min="7" max="7" width="18.28515625" bestFit="1" customWidth="1"/>
    <col min="8" max="9" width="11.28515625" bestFit="1" customWidth="1"/>
  </cols>
  <sheetData>
    <row r="2" spans="1:4" x14ac:dyDescent="0.25">
      <c r="A2" s="7" t="s">
        <v>118</v>
      </c>
      <c r="B2" t="s">
        <v>47</v>
      </c>
    </row>
    <row r="4" spans="1:4" x14ac:dyDescent="0.25">
      <c r="A4" s="7" t="s">
        <v>110</v>
      </c>
      <c r="B4" s="7" t="s">
        <v>48</v>
      </c>
    </row>
    <row r="5" spans="1:4" x14ac:dyDescent="0.25">
      <c r="B5" t="s">
        <v>116</v>
      </c>
      <c r="C5" t="s">
        <v>119</v>
      </c>
      <c r="D5" t="s">
        <v>46</v>
      </c>
    </row>
    <row r="6" spans="1:4" x14ac:dyDescent="0.25">
      <c r="A6" s="7" t="s">
        <v>45</v>
      </c>
      <c r="B6" t="s">
        <v>116</v>
      </c>
    </row>
    <row r="7" spans="1:4" x14ac:dyDescent="0.25">
      <c r="A7" s="8" t="s">
        <v>116</v>
      </c>
      <c r="B7" s="16"/>
      <c r="C7" s="16"/>
      <c r="D7" s="16"/>
    </row>
    <row r="8" spans="1:4" x14ac:dyDescent="0.25">
      <c r="A8" s="8" t="s">
        <v>46</v>
      </c>
      <c r="B8" s="16"/>
      <c r="C8" s="16"/>
      <c r="D8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C7"/>
  <sheetViews>
    <sheetView workbookViewId="0">
      <selection activeCell="AD26" sqref="AD26"/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11.28515625" bestFit="1" customWidth="1"/>
  </cols>
  <sheetData>
    <row r="1" spans="1:3" x14ac:dyDescent="0.25">
      <c r="A1" s="7" t="s">
        <v>53</v>
      </c>
      <c r="B1" t="s">
        <v>116</v>
      </c>
    </row>
    <row r="2" spans="1:3" x14ac:dyDescent="0.25">
      <c r="A2" s="7" t="s">
        <v>118</v>
      </c>
      <c r="B2" t="s">
        <v>47</v>
      </c>
    </row>
    <row r="4" spans="1:3" x14ac:dyDescent="0.25">
      <c r="A4" s="7" t="s">
        <v>111</v>
      </c>
      <c r="B4" s="7" t="s">
        <v>48</v>
      </c>
    </row>
    <row r="5" spans="1:3" x14ac:dyDescent="0.25">
      <c r="A5" s="7" t="s">
        <v>45</v>
      </c>
      <c r="B5" t="s">
        <v>116</v>
      </c>
      <c r="C5" t="s">
        <v>46</v>
      </c>
    </row>
    <row r="6" spans="1:3" x14ac:dyDescent="0.25">
      <c r="A6" s="8" t="s">
        <v>116</v>
      </c>
      <c r="B6" s="16"/>
      <c r="C6" s="16"/>
    </row>
    <row r="7" spans="1:3" x14ac:dyDescent="0.25">
      <c r="A7" s="8" t="s">
        <v>46</v>
      </c>
      <c r="B7" s="16"/>
      <c r="C7" s="1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1:D6"/>
  <sheetViews>
    <sheetView workbookViewId="0">
      <selection activeCell="J27" sqref="J27"/>
    </sheetView>
  </sheetViews>
  <sheetFormatPr defaultRowHeight="15" x14ac:dyDescent="0.25"/>
  <cols>
    <col min="1" max="1" width="13.140625" bestFit="1" customWidth="1"/>
    <col min="2" max="2" width="22.42578125" bestFit="1" customWidth="1"/>
    <col min="3" max="3" width="22.140625" bestFit="1" customWidth="1"/>
    <col min="4" max="4" width="26" bestFit="1" customWidth="1"/>
    <col min="5" max="5" width="27.42578125" bestFit="1" customWidth="1"/>
    <col min="6" max="6" width="27.140625" bestFit="1" customWidth="1"/>
    <col min="7" max="7" width="31" bestFit="1" customWidth="1"/>
    <col min="8" max="8" width="30.7109375" bestFit="1" customWidth="1"/>
    <col min="9" max="9" width="34.28515625" bestFit="1" customWidth="1"/>
    <col min="10" max="10" width="31.42578125" bestFit="1" customWidth="1"/>
    <col min="11" max="11" width="30.7109375" bestFit="1" customWidth="1"/>
    <col min="12" max="12" width="34.28515625" bestFit="1" customWidth="1"/>
    <col min="13" max="13" width="31.42578125" bestFit="1" customWidth="1"/>
  </cols>
  <sheetData>
    <row r="1" spans="1:4" x14ac:dyDescent="0.25">
      <c r="A1" s="7" t="s">
        <v>118</v>
      </c>
      <c r="B1" t="s">
        <v>47</v>
      </c>
    </row>
    <row r="2" spans="1:4" x14ac:dyDescent="0.25">
      <c r="A2" s="7" t="s">
        <v>55</v>
      </c>
      <c r="B2" t="s">
        <v>47</v>
      </c>
    </row>
    <row r="4" spans="1:4" x14ac:dyDescent="0.25">
      <c r="A4" s="7" t="s">
        <v>45</v>
      </c>
      <c r="B4" t="s">
        <v>113</v>
      </c>
      <c r="C4" t="s">
        <v>114</v>
      </c>
      <c r="D4" t="s">
        <v>115</v>
      </c>
    </row>
    <row r="5" spans="1:4" x14ac:dyDescent="0.25">
      <c r="A5" s="8" t="s">
        <v>116</v>
      </c>
      <c r="B5" s="16"/>
      <c r="C5" s="16"/>
      <c r="D5" s="16"/>
    </row>
    <row r="6" spans="1:4" x14ac:dyDescent="0.25">
      <c r="A6" s="8" t="s">
        <v>46</v>
      </c>
      <c r="B6" s="16"/>
      <c r="C6" s="16"/>
      <c r="D6" s="1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3:C8"/>
  <sheetViews>
    <sheetView workbookViewId="0">
      <selection activeCell="J27" sqref="J27"/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11.28515625" bestFit="1" customWidth="1"/>
    <col min="4" max="5" width="12.42578125" bestFit="1" customWidth="1"/>
    <col min="6" max="6" width="20.7109375" bestFit="1" customWidth="1"/>
    <col min="7" max="7" width="21.85546875" bestFit="1" customWidth="1"/>
    <col min="8" max="8" width="24.28515625" bestFit="1" customWidth="1"/>
    <col min="9" max="9" width="25.28515625" bestFit="1" customWidth="1"/>
  </cols>
  <sheetData>
    <row r="3" spans="1:3" x14ac:dyDescent="0.25">
      <c r="A3" s="7" t="s">
        <v>118</v>
      </c>
      <c r="B3" t="s">
        <v>47</v>
      </c>
    </row>
    <row r="5" spans="1:3" x14ac:dyDescent="0.25">
      <c r="A5" s="7" t="s">
        <v>112</v>
      </c>
      <c r="B5" s="7" t="s">
        <v>48</v>
      </c>
    </row>
    <row r="6" spans="1:3" x14ac:dyDescent="0.25">
      <c r="A6" s="7" t="s">
        <v>45</v>
      </c>
      <c r="B6" t="s">
        <v>116</v>
      </c>
      <c r="C6" t="s">
        <v>46</v>
      </c>
    </row>
    <row r="7" spans="1:3" x14ac:dyDescent="0.25">
      <c r="A7" s="8" t="s">
        <v>116</v>
      </c>
      <c r="B7" s="16"/>
      <c r="C7" s="16"/>
    </row>
    <row r="8" spans="1:3" x14ac:dyDescent="0.25">
      <c r="A8" s="8" t="s">
        <v>46</v>
      </c>
      <c r="B8" s="16"/>
      <c r="C8" s="1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2:C7"/>
  <sheetViews>
    <sheetView workbookViewId="0">
      <selection activeCell="D33" sqref="D33:D34"/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11.28515625" bestFit="1" customWidth="1"/>
    <col min="4" max="4" width="25.7109375" bestFit="1" customWidth="1"/>
  </cols>
  <sheetData>
    <row r="2" spans="1:3" x14ac:dyDescent="0.25">
      <c r="A2" s="7" t="s">
        <v>118</v>
      </c>
      <c r="B2" t="s">
        <v>47</v>
      </c>
    </row>
    <row r="4" spans="1:3" x14ac:dyDescent="0.25">
      <c r="A4" s="7" t="s">
        <v>112</v>
      </c>
      <c r="B4" s="7" t="s">
        <v>48</v>
      </c>
    </row>
    <row r="5" spans="1:3" x14ac:dyDescent="0.25">
      <c r="A5" s="7" t="s">
        <v>45</v>
      </c>
      <c r="B5" t="s">
        <v>116</v>
      </c>
      <c r="C5" t="s">
        <v>46</v>
      </c>
    </row>
    <row r="6" spans="1:3" x14ac:dyDescent="0.25">
      <c r="A6" s="8" t="s">
        <v>116</v>
      </c>
      <c r="B6" s="16"/>
      <c r="C6" s="16"/>
    </row>
    <row r="7" spans="1:3" x14ac:dyDescent="0.25">
      <c r="A7" s="8" t="s">
        <v>46</v>
      </c>
      <c r="B7" s="16"/>
      <c r="C7" s="1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1:D6"/>
  <sheetViews>
    <sheetView workbookViewId="0">
      <selection activeCell="D33" sqref="D33:D34"/>
    </sheetView>
  </sheetViews>
  <sheetFormatPr defaultRowHeight="15" x14ac:dyDescent="0.25"/>
  <cols>
    <col min="1" max="1" width="13.140625" bestFit="1" customWidth="1"/>
    <col min="2" max="2" width="22.42578125" bestFit="1" customWidth="1"/>
    <col min="3" max="3" width="22.140625" bestFit="1" customWidth="1"/>
    <col min="4" max="4" width="26" bestFit="1" customWidth="1"/>
    <col min="5" max="5" width="27.42578125" bestFit="1" customWidth="1"/>
    <col min="6" max="6" width="27.140625" bestFit="1" customWidth="1"/>
    <col min="7" max="7" width="31" bestFit="1" customWidth="1"/>
    <col min="8" max="8" width="30.7109375" bestFit="1" customWidth="1"/>
    <col min="9" max="9" width="35.28515625" bestFit="1" customWidth="1"/>
    <col min="10" max="10" width="31.42578125" bestFit="1" customWidth="1"/>
  </cols>
  <sheetData>
    <row r="1" spans="1:4" x14ac:dyDescent="0.25">
      <c r="A1" s="7" t="s">
        <v>118</v>
      </c>
      <c r="B1" t="s">
        <v>47</v>
      </c>
    </row>
    <row r="2" spans="1:4" x14ac:dyDescent="0.25">
      <c r="A2" s="7" t="s">
        <v>55</v>
      </c>
      <c r="B2" t="s">
        <v>47</v>
      </c>
    </row>
    <row r="4" spans="1:4" x14ac:dyDescent="0.25">
      <c r="A4" s="7" t="s">
        <v>45</v>
      </c>
      <c r="B4" t="s">
        <v>113</v>
      </c>
      <c r="C4" t="s">
        <v>114</v>
      </c>
      <c r="D4" t="s">
        <v>115</v>
      </c>
    </row>
    <row r="5" spans="1:4" x14ac:dyDescent="0.25">
      <c r="A5" s="8" t="s">
        <v>116</v>
      </c>
      <c r="B5" s="16"/>
      <c r="C5" s="16"/>
      <c r="D5" s="16"/>
    </row>
    <row r="6" spans="1:4" x14ac:dyDescent="0.25">
      <c r="A6" s="8" t="s">
        <v>46</v>
      </c>
      <c r="B6" s="16"/>
      <c r="C6" s="16"/>
      <c r="D6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Data</vt:lpstr>
      <vt:lpstr>Demand01</vt:lpstr>
      <vt:lpstr>Gen01</vt:lpstr>
      <vt:lpstr>Gen02</vt:lpstr>
      <vt:lpstr>bus01</vt:lpstr>
      <vt:lpstr>Lines01</vt:lpstr>
      <vt:lpstr>Lines02</vt:lpstr>
      <vt:lpstr>Trafos02</vt:lpstr>
      <vt:lpstr>Trafos01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2023-01-17T15:05:32Z</dcterms:modified>
</cp:coreProperties>
</file>