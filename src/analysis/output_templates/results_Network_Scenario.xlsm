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799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emand01" sheetId="8" state="hidden" r:id="rId8"/>
    <sheet xmlns:r="http://schemas.openxmlformats.org/officeDocument/2006/relationships" name="Gen01" sheetId="9" state="hidden" r:id="rId9"/>
    <sheet xmlns:r="http://schemas.openxmlformats.org/officeDocument/2006/relationships" name="Gen02" sheetId="10" state="hidden" r:id="rId10"/>
    <sheet xmlns:r="http://schemas.openxmlformats.org/officeDocument/2006/relationships" name="bus01" sheetId="11" state="hidden" r:id="rId11"/>
    <sheet xmlns:r="http://schemas.openxmlformats.org/officeDocument/2006/relationships" name="Lines01" sheetId="12" state="hidden" r:id="rId12"/>
    <sheet xmlns:r="http://schemas.openxmlformats.org/officeDocument/2006/relationships" name="Lines02" sheetId="13" state="hidden" r:id="rId13"/>
    <sheet xmlns:r="http://schemas.openxmlformats.org/officeDocument/2006/relationships" name="Trafos01" sheetId="14" state="hidden" r:id="rId14"/>
    <sheet xmlns:r="http://schemas.openxmlformats.org/officeDocument/2006/relationships" name="Trafos02" sheetId="15" state="hidden" r:id="rId15"/>
  </sheets>
  <definedNames>
    <definedName name="Slicer_Fuel">#N/A</definedName>
    <definedName name="Slicer_High_Voltage_Side__kV">#N/A</definedName>
    <definedName name="Slicer_Low_Voltage_Side__kV">#N/A</definedName>
    <definedName name="Slicer_Step">#N/A</definedName>
    <definedName name="Slicer_Technology">#N/A</definedName>
    <definedName name="Slicer_Voltage_Level__kV">#N/A</definedName>
    <definedName name="Slicer_Voltage_Level__kV1">#N/A</definedName>
    <definedName name="Slicer_Voltage_Level__kV2">#N/A</definedName>
    <definedName name="Slicer_Voltage_Level__kV3">#N/A</definedName>
    <definedName name="Slicer_Zone">#N/A</definedName>
    <definedName name="Slicer_Zone1">#N/A</definedName>
    <definedName name="Slicer_Zone2">#N/A</definedName>
    <definedName name="Slicer_Zone3">#N/A</definedName>
    <definedName name="Slicer_Zone4">#N/A</definedName>
  </definedNames>
  <calcPr calcId="191029" fullCalcOnLoad="1"/>
  <pivotCaches>
    <pivotCache xmlns:r="http://schemas.openxmlformats.org/officeDocument/2006/relationships" cacheId="3" r:id="rId16"/>
    <pivotCache xmlns:r="http://schemas.openxmlformats.org/officeDocument/2006/relationships" cacheId="0" r:id="rId17"/>
    <pivotCache xmlns:r="http://schemas.openxmlformats.org/officeDocument/2006/relationships" cacheId="2" r:id="rId18"/>
    <pivotCache xmlns:r="http://schemas.openxmlformats.org/officeDocument/2006/relationships" cacheId="4" r:id="rId19"/>
    <pivotCache xmlns:r="http://schemas.openxmlformats.org/officeDocument/2006/relationships" cacheId="1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</borders>
  <cellStyleXfs count="1">
    <xf numFmtId="0" fontId="0" fillId="0" borderId="0"/>
  </cellStyleXfs>
  <cellXfs count="15">
    <xf numFmtId="0" fontId="0" fillId="0" borderId="0" pivotButton="0" quotePrefix="0" xfId="0"/>
    <xf numFmtId="0" fontId="0" fillId="0" borderId="0" applyAlignment="1" pivotButton="0" quotePrefix="0" xfId="0">
      <alignment horizontal="center" vertical="top" wrapText="1"/>
    </xf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2"/>
    </xf>
    <xf numFmtId="0" fontId="0" fillId="0" borderId="3" pivotButton="0" quotePrefix="0" xfId="0"/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</cellXfs>
  <cellStyles count="1">
    <cellStyle name="Normal" xfId="0" builtinId="0"/>
  </cellStyles>
  <dxfs count="45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alignment horizontal="center" vertical="top" wrapText="1"/>
    </dxf>
    <dxf>
      <alignment horizontal="center" vertical="top" wrapText="1"/>
    </dxf>
    <dxf>
      <alignment horizontal="center" vertical="top" wrapText="1"/>
    </dxf>
    <dxf>
      <alignment horizontal="center" vertical="top" wrapText="1"/>
    </dxf>
    <dxf>
      <alignment horizontal="center" vertical="top" wrapText="1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pivotCacheDefinition" Target="/xl/pivotCache/pivotCacheDefinition1.xml" Id="rId16"/><Relationship Type="http://schemas.openxmlformats.org/officeDocument/2006/relationships/pivotCacheDefinition" Target="/xl/pivotCache/pivotCacheDefinition2.xml" Id="rId17"/><Relationship Type="http://schemas.openxmlformats.org/officeDocument/2006/relationships/pivotCacheDefinition" Target="/xl/pivotCache/pivotCacheDefinition3.xml" Id="rId18"/><Relationship Type="http://schemas.openxmlformats.org/officeDocument/2006/relationships/pivotCacheDefinition" Target="/xl/pivotCache/pivotCacheDefinition4.xml" Id="rId19"/><Relationship Type="http://schemas.openxmlformats.org/officeDocument/2006/relationships/pivotCacheDefinition" Target="/xl/pivotCache/pivotCacheDefinition5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harts/chart1.xml><?xml version="1.0" encoding="utf-8"?>
<chartSpace xmlns="http://schemas.openxmlformats.org/drawingml/2006/chart">
  <pivotSource>
    <name>[output_template.xlsm]Lines01!PivotTable2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Lines01!$B$5:$B$16</f>
              <numCache>
                <formatCode>General</formatCode>
                <ptCount val="11"/>
                <pt idx="0">
                  <v>100.1731638810112</v>
                </pt>
                <pt idx="1">
                  <v>110.1904802691123</v>
                </pt>
                <pt idx="2">
                  <v>121.2095282960236</v>
                </pt>
                <pt idx="3">
                  <v>133.330481125626</v>
                </pt>
                <pt idx="4">
                  <v>146.6635292381886</v>
                </pt>
                <pt idx="5">
                  <v>161.3298821620074</v>
                </pt>
                <pt idx="6">
                  <v>177.4628703782082</v>
                </pt>
                <pt idx="7">
                  <v>195.2091574160291</v>
                </pt>
                <pt idx="8">
                  <v>214.730073157632</v>
                </pt>
                <pt idx="9">
                  <v>236.2030804733952</v>
                </pt>
                <pt idx="10">
                  <v>259.8233885207347</v>
                </pt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Average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Lines01!$C$5:$C$16</f>
              <numCache>
                <formatCode>General</formatCode>
                <ptCount val="11"/>
                <pt idx="0">
                  <v>27.14337412240021</v>
                </pt>
                <pt idx="1">
                  <v>29.85771153464023</v>
                </pt>
                <pt idx="2">
                  <v>32.84348268810426</v>
                </pt>
                <pt idx="3">
                  <v>36.12783095691469</v>
                </pt>
                <pt idx="4">
                  <v>39.74061405260616</v>
                </pt>
                <pt idx="5">
                  <v>43.71467545786678</v>
                </pt>
                <pt idx="6">
                  <v>48.08614300365347</v>
                </pt>
                <pt idx="7">
                  <v>52.89475730401882</v>
                </pt>
                <pt idx="8">
                  <v>58.18423303442071</v>
                </pt>
                <pt idx="9">
                  <v>64.00265633786279</v>
                </pt>
                <pt idx="10">
                  <v>70.40292197164906</v>
                </pt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Min of Loading Percent [%]2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Lines01!$D$5:$D$16</f>
              <numCache>
                <formatCode>General</formatCode>
                <ptCount val="11"/>
                <pt idx="0">
                  <v>7.234050190158276e-05</v>
                </pt>
                <pt idx="1">
                  <v>7.957455209174104e-05</v>
                </pt>
                <pt idx="2">
                  <v>8.753200730091515e-05</v>
                </pt>
                <pt idx="3">
                  <v>9.628520803100668e-05</v>
                </pt>
                <pt idx="4">
                  <v>0.0001059137288341074</v>
                </pt>
                <pt idx="5">
                  <v>0.0001165051017175181</v>
                </pt>
                <pt idx="6">
                  <v>0.0001281556118892699</v>
                </pt>
                <pt idx="7">
                  <v>0.0001409711730781969</v>
                </pt>
                <pt idx="8">
                  <v>0.0001550682903860166</v>
                </pt>
                <pt idx="9">
                  <v>0.0001705751194246183</v>
                </pt>
                <pt idx="10">
                  <v>0.0001876326313670801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[output_template.xlsm]Lines02!PivotTable3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Lines02!$B$5:$B$16</f>
              <numCache>
                <formatCode>General</formatCode>
                <ptCount val="11"/>
                <pt idx="0">
                  <v>5.027180043283985</v>
                </pt>
                <pt idx="1">
                  <v>5.529898047612384</v>
                </pt>
                <pt idx="2">
                  <v>6.082887852373622</v>
                </pt>
                <pt idx="3">
                  <v>6.691176637610985</v>
                </pt>
                <pt idx="4">
                  <v>7.360294301372084</v>
                </pt>
                <pt idx="5">
                  <v>8.096323731509294</v>
                </pt>
                <pt idx="6">
                  <v>8.905956104660223</v>
                </pt>
                <pt idx="7">
                  <v>9.796551715126247</v>
                </pt>
                <pt idx="8">
                  <v>10.77620688663887</v>
                </pt>
                <pt idx="9">
                  <v>11.85382757530276</v>
                </pt>
                <pt idx="10">
                  <v>13.03921033283304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="http://schemas.openxmlformats.org/drawingml/2006/chart">
  <pivotSource>
    <name>[output_template.xlsm]Gen01!ptgen01</name>
    <fmtId val="1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="http://schemas.openxmlformats.org/drawingml/2006/chart">
  <pivotSource>
    <name>[output_template.xlsm]Trafos01!PivotTable1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Trafos01!$B$4:$B$6</f>
              <strCache>
                <ptCount val="1"/>
                <pt idx="0">
                  <v>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Trafos01!$A$7:$A$18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Trafos01!$B$7:$B$18</f>
              <numCache>
                <formatCode>General</formatCode>
                <ptCount val="11"/>
                <pt idx="0">
                  <v>0.004240566305308572</v>
                </pt>
                <pt idx="1">
                  <v>0.00706761050884762</v>
                </pt>
                <pt idx="2">
                  <v>0.00706761050884762</v>
                </pt>
                <pt idx="3">
                  <v>0.008481132610617144</v>
                </pt>
                <pt idx="4">
                  <v>0.01017735913274057</v>
                </pt>
                <pt idx="5">
                  <v>0.01221283095928868</v>
                </pt>
                <pt idx="6">
                  <v>0.01465539715114642</v>
                </pt>
                <pt idx="7">
                  <v>0.0175864765813757</v>
                </pt>
                <pt idx="8">
                  <v>0.02110377189765084</v>
                </pt>
                <pt idx="9">
                  <v>0.02532452627718101</v>
                </pt>
                <pt idx="10">
                  <v>0.03038943153261721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[output_template.xlsm]Trafos02!PivotTable2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Trafos02!$B$4:$B$7</f>
              <strCache>
                <ptCount val="1"/>
                <pt idx="0">
                  <v>Max of Loading Percent [%]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Trafos02!$B$8:$B$19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56.4256383280732</v>
                </pt>
                <pt idx="4">
                  <v>61.4256383280732</v>
                </pt>
                <pt idx="5">
                  <v>66.42563832807321</v>
                </pt>
                <pt idx="6">
                  <v>71.42563832807321</v>
                </pt>
                <pt idx="7">
                  <v>76.42563832807321</v>
                </pt>
                <pt idx="8">
                  <v>81.42563832807321</v>
                </pt>
                <pt idx="9">
                  <v>86.42563832807321</v>
                </pt>
                <pt idx="10">
                  <v>91.42563832807321</v>
                </pt>
              </numCache>
            </numRef>
          </val>
          <smooth val="0"/>
        </ser>
        <ser>
          <idx val="1"/>
          <order val="1"/>
          <tx>
            <strRef>
              <f>Trafos02!$D$4:$D$7</f>
              <strCache>
                <ptCount val="1"/>
                <pt idx="0">
                  <v>Average of Loading Percent [%]2 - 10 - 0.4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Trafos02!$D$8:$D$19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54.42563832807321</v>
                </pt>
                <pt idx="4">
                  <v>59.42563832807319</v>
                </pt>
                <pt idx="5">
                  <v>64.42563832807321</v>
                </pt>
                <pt idx="6">
                  <v>69.42563832807321</v>
                </pt>
                <pt idx="7">
                  <v>74.42563832807321</v>
                </pt>
                <pt idx="8">
                  <v>79.42563832807321</v>
                </pt>
                <pt idx="9">
                  <v>84.42563832807321</v>
                </pt>
                <pt idx="10">
                  <v>89.42563832807321</v>
                </pt>
              </numCache>
            </numRef>
          </val>
          <smooth val="0"/>
        </ser>
        <ser>
          <idx val="2"/>
          <order val="2"/>
          <tx>
            <strRef>
              <f>Trafos02!$F$4:$F$7</f>
              <strCache>
                <ptCount val="1"/>
                <pt idx="0">
                  <v>Min of Loading Percent [%]3 - 10 - 0.4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Trafos02!$F$8:$F$19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52.42563832807324</v>
                </pt>
                <pt idx="4">
                  <v>57.4256383280732</v>
                </pt>
                <pt idx="5">
                  <v>62.4256383280732</v>
                </pt>
                <pt idx="6">
                  <v>67.42563832807321</v>
                </pt>
                <pt idx="7">
                  <v>72.42563832807321</v>
                </pt>
                <pt idx="8">
                  <v>77.42563832807321</v>
                </pt>
                <pt idx="9">
                  <v>82.42563832807321</v>
                </pt>
                <pt idx="10">
                  <v>87.42563832807321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pivotSource>
    <name>[output_template.xlsm]Gen01!ptgen01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7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9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0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="http://schemas.openxmlformats.org/drawingml/2006/chart">
  <pivotSource>
    <name>[output_template.xlsm]bus01!PivotTable3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'bus01'!$A$5:$A$10</f>
              <strCache>
                <ptCount val="5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</strCache>
            </strRef>
          </cat>
          <val>
            <numRef>
              <f>'bus01'!$B$5:$B$10</f>
              <numCache>
                <formatCode>General</formatCode>
                <ptCount val="5"/>
                <pt idx="0">
                  <v>0.9999999999999999</v>
                </pt>
                <pt idx="1">
                  <v>0.9892612371179855</v>
                </pt>
                <pt idx="2">
                  <v>1</v>
                </pt>
                <pt idx="3">
                  <v>1</v>
                </pt>
                <pt idx="4">
                  <v>0.9999999999999999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[output_template.xlsm]Demand01!PivotTable4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Demand01!$B$4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Demand01!$A$5:$A$16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Demand01!$B$5:$B$16</f>
              <numCache>
                <formatCode>General</formatCode>
                <ptCount val="11"/>
                <pt idx="0">
                  <v>1000</v>
                </pt>
                <pt idx="1">
                  <v>1100</v>
                </pt>
                <pt idx="2">
                  <v>1210</v>
                </pt>
                <pt idx="3">
                  <v>1331</v>
                </pt>
                <pt idx="4">
                  <v>1464.100000000001</v>
                </pt>
                <pt idx="5">
                  <v>1610.510000000001</v>
                </pt>
                <pt idx="6">
                  <v>1771.561000000001</v>
                </pt>
                <pt idx="7">
                  <v>1948.717100000001</v>
                </pt>
                <pt idx="8">
                  <v>2143.588810000002</v>
                </pt>
                <pt idx="9">
                  <v>2357.947691000002</v>
                </pt>
                <pt idx="10">
                  <v>2593.742460100002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51801135"/>
        <axId val="451794063"/>
      </lineChart>
      <catAx>
        <axId val="451801135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image" Target="/xl/media/image1.png" Id="rId9"/></Relationships>
</file>

<file path=xl/drawings/drawing1.xml><?xml version="1.0" encoding="utf-8"?>
<wsDr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8</col>
      <colOff>124810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8</col>
      <colOff>126145</colOff>
      <row>23</row>
      <rowOff>57978</rowOff>
    </from>
    <to>
      <col>23</col>
      <colOff>433754</colOff>
      <row>41</row>
      <rowOff>129540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8</col>
      <colOff>211592</colOff>
      <row>85</row>
      <rowOff>44556</rowOff>
    </from>
    <to>
      <col>23</col>
      <colOff>465015</colOff>
      <row>100</row>
      <rowOff>98776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 editAs="oneCell">
    <from>
      <col>1</col>
      <colOff>3062</colOff>
      <row>1</row>
      <rowOff>152400</rowOff>
    </from>
    <to>
      <col>1</col>
      <colOff>796289</colOff>
      <row>5</row>
      <rowOff>175260</rowOff>
    </to>
    <pic>
      <nvPicPr>
        <cNvPr id="19" name="Picture 1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109742" y="236220"/>
          <a:ext cx="793227" cy="78486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894.74730775463" createdVersion="8" refreshedVersion="8" minRefreshableVersion="3" recordCount="33" r:id="rId1">
  <cacheSource type="worksheet">
    <worksheetSource name="demand_table"/>
  </cacheSource>
  <cacheFields count="8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oad Index" uniqueList="1" numFmtId="0" sqlType="0" hierarchy="0" level="0" databaseField="1">
      <sharedItems count="0" containsInteger="1" containsNumber="1" containsSemiMixedTypes="0" containsString="0" minValue="0" maxValue="2"/>
    </cacheField>
    <cacheField name="Bus Index" uniqueList="1" numFmtId="0" sqlType="0" hierarchy="0" level="0" databaseField="1">
      <sharedItems count="0" containsInteger="1" containsNumber="1" containsSemiMixedTypes="0" containsString="0" minValue="1" maxValue="3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Active Power [MW]" uniqueList="1" numFmtId="0" sqlType="0" hierarchy="0" level="0" databaseField="1">
      <sharedItems count="0" containsNumber="1" containsSemiMixedTypes="0" containsString="0" minValue="300" maxValue="1037.496984040001"/>
    </cacheField>
    <cacheField name="Reactive Power [MVAr]" uniqueList="1" numFmtId="0" sqlType="0" hierarchy="0" level="0" databaseField="1">
      <sharedItems count="0" containsNumber="1" containsSemiMixedTypes="0" containsString="0" minValue="98.61" maxValue="340.9993212293472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887.793053125" createdVersion="8" refreshedVersion="8" minRefreshableVersion="3" recordCount="33" r:id="rId1">
  <cacheSource type="worksheet">
    <worksheetSource name="generation_table"/>
  </cacheSource>
  <cacheFields count="16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Bus Index" uniqueList="1" numFmtId="0" sqlType="0" hierarchy="0" level="0" databaseField="1">
      <sharedItems count="0" containsInteger="1" containsNumber="1" containsSemiMixedTypes="0" containsString="0" minValue="0" maxValue="4"/>
    </cacheField>
    <cacheField name="Generator Index" uniqueList="1" numFmtId="0" sqlType="0" hierarchy="0" level="0" databaseField="1">
      <sharedItems count="0" containsInteger="1" containsNumber="1" containsSemiMixedTypes="0" containsString="0" minValue="0" maxValue="2"/>
    </cacheField>
    <cacheField name="Fuel" uniqueList="1" numFmtId="0" sqlType="0" hierarchy="0" level="0" databaseField="1">
      <sharedItems count="3">
        <s v="Coal"/>
        <s v="NG"/>
        <s v="Wind"/>
      </sharedItems>
    </cacheField>
    <cacheField name="Technology" uniqueList="1" numFmtId="0" sqlType="0" hierarchy="0" level="0" databaseField="1">
      <sharedItems count="3">
        <s v="Steam Turbine"/>
        <s v="Gas Turbine"/>
        <s v="Wind Turbine"/>
      </sharedItems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Name" uniqueList="1" numFmtId="0" sqlType="0" hierarchy="0" level="0" databaseField="1">
      <sharedItems count="0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Integer="1" containsNumber="1" containsSemiMixedTypes="0" containsString="0" minValue="1" maxValue="1"/>
    </cacheField>
    <cacheField name="Maximum Active Power [MW]" uniqueList="1" numFmtId="0" sqlType="0" hierarchy="0" level="0" databaseField="1">
      <sharedItems count="0" containsNumber="1" containsSemiMixedTypes="0" containsString="0" minValue="40" maxValue="966.3060000000004"/>
    </cacheField>
    <cacheField name="Maximum Reactive Power [MVAr]" uniqueList="1" numFmtId="0" sqlType="0" hierarchy="0" level="0" databaseField="1">
      <sharedItems count="0" containsNumber="1" containsSemiMixedTypes="0" containsString="0" minValue="30" maxValue="724.7295000000004"/>
    </cacheField>
    <cacheField name="Minimum Active Power [MW]" uniqueList="1" numFmtId="0" sqlType="0" hierarchy="0" level="0" databaseField="1">
      <sharedItems count="0" containsInteger="1" containsNumber="1" containsSemiMixedTypes="0" containsString="0" minValue="0" maxValue="0"/>
    </cacheField>
    <cacheField name="Minimum Reactive Power [MVAr]" uniqueList="1" numFmtId="0" sqlType="0" hierarchy="0" level="0" databaseField="1">
      <sharedItems count="0" containsNumber="1" containsSemiMixedTypes="0" containsString="0" minValue="-724.7295000000004" maxValue="-30"/>
    </cacheField>
    <cacheField name=" Active Power [MW]" uniqueList="1" numFmtId="0" sqlType="0" hierarchy="0" level="0" databaseField="1">
      <sharedItems count="0" containsNumber="1" containsSemiMixedTypes="0" containsString="0" minValue="40" maxValue="1210.006795061252"/>
    </cacheField>
    <cacheField name=" Reactive Power [MVAr]" uniqueList="1" numFmtId="0" sqlType="0" hierarchy="0" level="0" databaseField="1">
      <sharedItems count="0" containsNumber="1" containsSemiMixedTypes="0" containsString="0" minValue="-61.53698065348156" maxValue="313.493373417145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894.74029178241" createdVersion="8" refreshedVersion="8" minRefreshableVersion="3" recordCount="10" r:id="rId1">
  <cacheSource type="worksheet">
    <worksheetSource name="bus_table"/>
  </cacheSource>
  <cacheFields count="10">
    <cacheField name="Step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Bus Index" uniqueList="1" numFmtId="0" sqlType="0" hierarchy="0" level="0" databaseField="1">
      <sharedItems count="5" containsInteger="1" containsNumber="1" containsSemiMixedTypes="0" containsString="0" minValue="0" maxValue="4">
        <n v="0"/>
        <n v="1"/>
        <n v="2"/>
        <n v="3"/>
        <n v="4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4"/>
    </cacheField>
    <cacheField name="Voltage Level [kV]" uniqueList="1" numFmtId="0" sqlType="0" hierarchy="0" level="0" databaseField="1">
      <sharedItems count="1" containsInteger="1" containsNumber="1" containsSemiMixedTypes="0" containsString="0" minValue="230" maxValue="230">
        <n v="230"/>
      </sharedItems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Number="1" containsSemiMixedTypes="0" containsString="0" minValue="0.9892612371179855" maxValue="1"/>
    </cacheField>
    <cacheField name="Voltage Phase [degree]" uniqueList="1" numFmtId="0" sqlType="0" hierarchy="0" level="0" databaseField="1">
      <sharedItems count="0" containsNumber="1" containsSemiMixedTypes="0" containsString="0" minValue="-0.7592692851644819" maxValue="4.112031000646839"/>
    </cacheField>
    <cacheField name="Active Power [MW]" uniqueList="1" numFmtId="0" sqlType="0" hierarchy="0" level="0" databaseField="1">
      <sharedItems count="0" containsNumber="1" containsSemiMixedTypes="0" containsString="0" minValue="-466.51" maxValue="394.972819956716"/>
    </cacheField>
    <cacheField name="Reactive Power [MVAr]" uniqueList="1" numFmtId="0" sqlType="0" hierarchy="0" level="0" databaseField="1">
      <sharedItems count="0" containsNumber="1" containsSemiMixedTypes="0" containsString="0" minValue="-96.04472019245181" maxValue="98.61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895.50010567129" createdVersion="8" refreshedVersion="8" minRefreshableVersion="3" recordCount="66" r:id="rId1">
  <cacheSource type="worksheet">
    <worksheetSource name="lines_table"/>
  </cacheSource>
  <cacheFields count="20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ine Index" uniqueList="1" numFmtId="0" sqlType="0" hierarchy="0" level="0" databaseField="1">
      <sharedItems count="0" containsInteger="1" containsNumber="1" containsSemiMixedTypes="0" containsString="0" minValue="0" maxValue="5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110"/>
        <n v="230"/>
      </sharedItems>
    </cacheField>
    <cacheField name="Name" uniqueList="1" numFmtId="0" sqlType="0" hierarchy="0" level="0" databaseField="1">
      <sharedItems count="0"/>
    </cacheField>
    <cacheField name="From bus" uniqueList="1" numFmtId="0" sqlType="0" hierarchy="0" level="0" databaseField="1">
      <sharedItems count="0" containsInteger="1" containsNumber="1" containsSemiMixedTypes="0" containsString="0" minValue="0" maxValue="3"/>
    </cacheField>
    <cacheField name="To Bus" uniqueList="1" numFmtId="0" sqlType="0" hierarchy="0" level="0" databaseField="1">
      <sharedItems count="0" containsInteger="1" containsNumber="1" containsSemiMixedTypes="0" containsString="0" minValue="1" maxValue="4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Length [km]" uniqueList="1" numFmtId="0" sqlType="0" hierarchy="0" level="0" databaseField="1">
      <sharedItems count="0" containsInteger="1" containsNumber="1" containsSemiMixedTypes="0" containsString="0" minValue="1" maxValue="1"/>
    </cacheField>
    <cacheField name="Maximum Current [kA]" uniqueList="1" numFmtId="0" sqlType="0" hierarchy="0" level="0" databaseField="1">
      <sharedItems count="0" containsNumber="1" containsSemiMixedTypes="0" containsString="0" minValue="0.6024524548065699" maxValue="99999"/>
    </cacheField>
    <cacheField name="Maximum Loading [%]" uniqueList="1" numFmtId="0" sqlType="0" hierarchy="0" level="0" databaseField="1">
      <sharedItems count="0" containsInteger="1" containsNumber="1" containsSemiMixedTypes="0" containsString="0" minValue="100" maxValue="100"/>
    </cacheField>
    <cacheField name="Number of Line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Std. Type" uniqueList="1" numFmtId="0" sqlType="0" hierarchy="0" level="0" databaseField="1">
      <sharedItems count="0"/>
    </cacheField>
    <cacheField name="From Bus Act. Power [MW]" uniqueList="1" numFmtId="0" sqlType="0" hierarchy="0" level="0" databaseField="1">
      <sharedItems count="0" containsNumber="1" containsSemiMixedTypes="0" containsString="0" minValue="-4010.26924206584" maxValue="249.7733725409011"/>
    </cacheField>
    <cacheField name="From Bus Raact. Power [MVAr]" uniqueList="1" numFmtId="0" sqlType="0" hierarchy="0" level="0" databaseField="1">
      <sharedItems count="0" containsNumber="1" containsSemiMixedTypes="0" containsString="0" minValue="-93.97263244914096" maxValue="563.135932269363"/>
    </cacheField>
    <cacheField name="To Bus Act. Power [MW]" uniqueList="1" numFmtId="0" sqlType="0" hierarchy="0" level="0" databaseField="1">
      <sharedItems count="0" containsNumber="1" containsSemiMixedTypes="0" containsString="0" minValue="-248.006760277201" maxValue="4042.43676841491"/>
    </cacheField>
    <cacheField name="To Bus Raact. Power [MVAr]" uniqueList="1" numFmtId="0" sqlType="0" hierarchy="0" level="0" databaseField="1">
      <sharedItems count="0" containsNumber="1" containsSemiMixedTypes="0" containsString="0" minValue="-242.134668778687" maxValue="93.39458845673786"/>
    </cacheField>
    <cacheField name="Losses [MW]" uniqueList="1" numFmtId="0" sqlType="0" hierarchy="0" level="0" databaseField="1">
      <sharedItems count="0" containsNumber="1" containsSemiMixedTypes="0" containsString="0" minValue="0.02460713215354815" maxValue="4.582137238892323"/>
    </cacheField>
    <cacheField name="Losses [MVAr]" uniqueList="1" numFmtId="0" sqlType="0" hierarchy="0" level="0" databaseField="1">
      <sharedItems count="0" containsNumber="1" containsSemiMixedTypes="0" containsString="0" minValue="-0.5780439924030958" maxValue="321.001263490677"/>
    </cacheField>
    <cacheField name="Loading Percent [%]" uniqueList="1" numFmtId="0" sqlType="0" hierarchy="0" level="0" databaseField="1">
      <sharedItems count="0" containsNumber="1" containsSemiMixedTypes="0" containsString="0" minValue="7.234050190158276e-05" maxValue="259.8233885207347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894.71650787037" createdVersion="8" refreshedVersion="8" minRefreshableVersion="3" recordCount="53" r:id="rId1">
  <cacheSource type="worksheet">
    <worksheetSource name="trafos_table"/>
  </cacheSource>
  <cacheFields count="21">
    <cacheField name="Time 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>
        <s v="---"/>
      </sharedItems>
    </cacheField>
    <cacheField name="Trafo Index" uniqueList="1" numFmtId="0" sqlType="0" hierarchy="0" level="0" databaseField="1">
      <sharedItems count="0" containsInteger="1" containsNumber="1" containsSemiMixedTypes="0" containsString="0" minValue="0" maxValue="39"/>
    </cacheField>
    <cacheField name="Name" uniqueList="1" numFmtId="0" sqlType="0" hierarchy="0" level="0" databaseField="1">
      <sharedItems count="0"/>
    </cacheField>
    <cacheField name="Std Type" uniqueList="1" numFmtId="0" sqlType="0" hierarchy="0" level="0" databaseField="1">
      <sharedItems count="0"/>
    </cacheField>
    <cacheField name="HV Bus" uniqueList="1" numFmtId="0" sqlType="0" hierarchy="0" level="0" databaseField="1">
      <sharedItems count="0" containsInteger="1" containsNumber="1" containsSemiMixedTypes="0" containsString="0" minValue="0" maxValue="0"/>
    </cacheField>
    <cacheField name="LV Bus" uniqueList="1" numFmtId="0" sqlType="0" hierarchy="0" level="0" databaseField="1">
      <sharedItems count="0" containsInteger="1" containsNumber="1" containsSemiMixedTypes="0" containsString="0" minValue="1" maxValue="1"/>
    </cacheField>
    <cacheField name="High Voltage Side [kV]" uniqueList="1" numFmtId="0" sqlType="0" hierarchy="0" level="0" databaseField="1">
      <sharedItems count="1" containsInteger="1" containsNumber="1" containsSemiMixedTypes="0" containsString="0" minValue="10" maxValue="10">
        <n v="10"/>
      </sharedItems>
    </cacheField>
    <cacheField name="Low Voltage Side [kV] " uniqueList="1" numFmtId="0" sqlType="0" hierarchy="0" level="0" databaseField="1">
      <sharedItems count="1" containsNumber="1" containsSemiMixedTypes="0" containsString="0" minValue="0.4" maxValue="0.4">
        <n v="0.4"/>
      </sharedItems>
    </cacheField>
    <cacheField name="FE Losses [kW]" uniqueList="1" numFmtId="0" sqlType="0" hierarchy="0" level="0" databaseField="1">
      <sharedItems count="0" containsNumber="1" containsSemiMixedTypes="0" containsString="0" minValue="0.6" maxValue="0.6"/>
    </cacheField>
    <cacheField name="Shift Degree" uniqueList="1" numFmtId="0" sqlType="0" hierarchy="0" level="0" databaseField="1">
      <sharedItems count="0" containsInteger="1" containsNumber="1" containsSemiMixedTypes="0" containsString="0" minValue="150" maxValue="150"/>
    </cacheField>
    <cacheField name="Tap Position" uniqueList="1" numFmtId="0" sqlType="0" hierarchy="0" level="0" databaseField="1">
      <sharedItems count="0" containsInteger="1" containsNumber="1" containsSemiMixedTypes="0" containsString="0" minValue="0" maxValue="0"/>
    </cacheField>
    <cacheField name="Number of Trafo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HV Act. Power [MW]" uniqueList="1" numFmtId="0" sqlType="0" hierarchy="0" level="0" databaseField="1">
      <sharedItems count="0" containsNumber="1" containsSemiMixedTypes="0" containsString="0" minValue="0.1236666454897191" maxValue="0.1236666454897191"/>
    </cacheField>
    <cacheField name="HV React. Power [MVAr]" uniqueList="1" numFmtId="0" sqlType="0" hierarchy="0" level="0" databaseField="1">
      <sharedItems count="0" containsNumber="1" containsSemiMixedTypes="0" containsString="0" minValue="0.04340919264951015" maxValue="0.04340919264951015"/>
    </cacheField>
    <cacheField name="LV Act. Power [MW]" uniqueList="1" numFmtId="0" sqlType="0" hierarchy="0" level="0" databaseField="1">
      <sharedItems count="0" containsNumber="1" containsSemiMixedTypes="0" containsString="0" minValue="-0.1222531233879495" maxValue="-0.1222531233879495"/>
    </cacheField>
    <cacheField name="LV React. Power [MVAr]" uniqueList="1" numFmtId="0" sqlType="0" hierarchy="0" level="0" databaseField="1">
      <sharedItems count="0" containsNumber="1" containsSemiMixedTypes="0" containsString="0" minValue="-0.04079860106284355" maxValue="-0.04079860106284355"/>
    </cacheField>
    <cacheField name="Losses [MW]" uniqueList="1" numFmtId="0" sqlType="0" hierarchy="0" level="0" databaseField="1">
      <sharedItems count="0" containsNumber="1" containsSemiMixedTypes="0" containsString="0" minValue="0.001413522101769524" maxValue="0.006077886306523442"/>
    </cacheField>
    <cacheField name="Losses [MVAr]" uniqueList="1" numFmtId="0" sqlType="0" hierarchy="0" level="0" databaseField="1">
      <sharedItems count="0" containsNumber="1" containsSemiMixedTypes="0" containsString="0" minValue="0.0026105915866666" maxValue="0.01122506597998235"/>
    </cacheField>
    <cacheField name="Loading Percent [%]" uniqueList="1" numFmtId="0" sqlType="0" hierarchy="0" level="0" databaseField="1">
      <sharedItems count="0" containsNumber="1" containsSemiMixedTypes="0" containsString="0" minValue="52.42563832807324" maxValue="91.42563832807321"/>
    </cacheField>
  </cacheFields>
</pivotCacheDefinition>
</file>

<file path=xl/pivotCache/pivotCacheRecords1.xml><?xml version="1.0" encoding="utf-8"?>
<pivotCacheRecords xmlns="http://schemas.openxmlformats.org/spreadsheetml/2006/main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1"/>
    <n v="144.617"/>
  </r>
  <r>
    <x v="2"/>
    <x v="0"/>
    <n v="0"/>
    <n v="1"/>
    <n v="1"/>
    <x v="0"/>
    <n v="363.0000000000001"/>
    <n v="119.3181"/>
  </r>
  <r>
    <x v="2"/>
    <x v="0"/>
    <n v="1"/>
    <n v="2"/>
    <n v="1"/>
    <x v="0"/>
    <n v="363.0000000000001"/>
    <n v="119.3181"/>
  </r>
  <r>
    <x v="2"/>
    <x v="0"/>
    <n v="2"/>
    <n v="3"/>
    <n v="1"/>
    <x v="1"/>
    <n v="484.0000000000001"/>
    <n v="159.0787"/>
  </r>
  <r>
    <x v="3"/>
    <x v="0"/>
    <n v="0"/>
    <n v="1"/>
    <n v="1"/>
    <x v="0"/>
    <n v="399.3000000000001"/>
    <n v="131.24991"/>
  </r>
  <r>
    <x v="3"/>
    <x v="0"/>
    <n v="1"/>
    <n v="2"/>
    <n v="1"/>
    <x v="0"/>
    <n v="399.3000000000001"/>
    <n v="131.24991"/>
  </r>
  <r>
    <x v="3"/>
    <x v="0"/>
    <n v="2"/>
    <n v="3"/>
    <n v="1"/>
    <x v="1"/>
    <n v="532.4000000000002"/>
    <n v="174.98657"/>
  </r>
  <r>
    <x v="4"/>
    <x v="0"/>
    <n v="0"/>
    <n v="1"/>
    <n v="1"/>
    <x v="0"/>
    <n v="439.2300000000001"/>
    <n v="144.3749010000001"/>
  </r>
  <r>
    <x v="4"/>
    <x v="0"/>
    <n v="1"/>
    <n v="2"/>
    <n v="1"/>
    <x v="0"/>
    <n v="439.2300000000001"/>
    <n v="144.3749010000001"/>
  </r>
  <r>
    <x v="4"/>
    <x v="0"/>
    <n v="2"/>
    <n v="3"/>
    <n v="1"/>
    <x v="1"/>
    <n v="585.6400000000003"/>
    <n v="192.485227"/>
  </r>
  <r>
    <x v="5"/>
    <x v="0"/>
    <n v="0"/>
    <n v="1"/>
    <n v="1"/>
    <x v="0"/>
    <n v="483.1530000000002"/>
    <n v="158.8123911000001"/>
  </r>
  <r>
    <x v="5"/>
    <x v="0"/>
    <n v="1"/>
    <n v="2"/>
    <n v="1"/>
    <x v="0"/>
    <n v="483.1530000000002"/>
    <n v="158.8123911000001"/>
  </r>
  <r>
    <x v="5"/>
    <x v="0"/>
    <n v="2"/>
    <n v="3"/>
    <n v="1"/>
    <x v="1"/>
    <n v="644.2040000000004"/>
    <n v="211.7337497000001"/>
  </r>
  <r>
    <x v="6"/>
    <x v="0"/>
    <n v="0"/>
    <n v="1"/>
    <n v="1"/>
    <x v="0"/>
    <n v="531.4683000000002"/>
    <n v="174.6936302100001"/>
  </r>
  <r>
    <x v="6"/>
    <x v="0"/>
    <n v="1"/>
    <n v="2"/>
    <n v="1"/>
    <x v="0"/>
    <n v="531.4683000000002"/>
    <n v="174.6936302100001"/>
  </r>
  <r>
    <x v="6"/>
    <x v="0"/>
    <n v="2"/>
    <n v="3"/>
    <n v="1"/>
    <x v="1"/>
    <n v="708.6244000000005"/>
    <n v="232.9071246700001"/>
  </r>
  <r>
    <x v="7"/>
    <x v="0"/>
    <n v="0"/>
    <n v="1"/>
    <n v="1"/>
    <x v="0"/>
    <n v="584.6151300000002"/>
    <n v="192.1629932310001"/>
  </r>
  <r>
    <x v="7"/>
    <x v="0"/>
    <n v="1"/>
    <n v="2"/>
    <n v="1"/>
    <x v="0"/>
    <n v="584.6151300000002"/>
    <n v="192.1629932310001"/>
  </r>
  <r>
    <x v="7"/>
    <x v="0"/>
    <n v="2"/>
    <n v="3"/>
    <n v="1"/>
    <x v="1"/>
    <n v="779.4868400000006"/>
    <n v="256.1978371370001"/>
  </r>
  <r>
    <x v="8"/>
    <x v="0"/>
    <n v="0"/>
    <n v="1"/>
    <n v="1"/>
    <x v="0"/>
    <n v="643.0766430000003"/>
    <n v="211.3792925541001"/>
  </r>
  <r>
    <x v="8"/>
    <x v="0"/>
    <n v="1"/>
    <n v="2"/>
    <n v="1"/>
    <x v="0"/>
    <n v="643.0766430000003"/>
    <n v="211.3792925541001"/>
  </r>
  <r>
    <x v="8"/>
    <x v="0"/>
    <n v="2"/>
    <n v="3"/>
    <n v="1"/>
    <x v="1"/>
    <n v="857.4355240000008"/>
    <n v="281.8176208507002"/>
  </r>
  <r>
    <x v="9"/>
    <x v="0"/>
    <n v="0"/>
    <n v="1"/>
    <n v="1"/>
    <x v="0"/>
    <n v="707.3843073000004"/>
    <n v="232.5172218095102"/>
  </r>
  <r>
    <x v="9"/>
    <x v="0"/>
    <n v="1"/>
    <n v="2"/>
    <n v="1"/>
    <x v="0"/>
    <n v="707.3843073000004"/>
    <n v="232.5172218095102"/>
  </r>
  <r>
    <x v="9"/>
    <x v="0"/>
    <n v="2"/>
    <n v="3"/>
    <n v="1"/>
    <x v="1"/>
    <n v="943.1790764000009"/>
    <n v="309.9993829357702"/>
  </r>
  <r>
    <x v="10"/>
    <x v="0"/>
    <n v="0"/>
    <n v="1"/>
    <n v="1"/>
    <x v="0"/>
    <n v="778.1227380300005"/>
    <n v="255.7689439904612"/>
  </r>
  <r>
    <x v="10"/>
    <x v="0"/>
    <n v="1"/>
    <n v="2"/>
    <n v="1"/>
    <x v="0"/>
    <n v="778.1227380300005"/>
    <n v="255.7689439904612"/>
  </r>
  <r>
    <x v="10"/>
    <x v="0"/>
    <n v="2"/>
    <n v="3"/>
    <n v="1"/>
    <x v="1"/>
    <n v="1037.496984040001"/>
    <n v="340.9993212293472"/>
  </r>
</pivotCacheRecords>
</file>

<file path=xl/pivotCache/pivotCacheRecords2.xml><?xml version="1.0" encoding="utf-8"?>
<pivotCacheRecords xmlns="http://schemas.openxmlformats.org/spreadsheetml/2006/main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4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1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1"/>
    <n v="-38.2096234444254"/>
  </r>
  <r>
    <x v="2"/>
    <x v="0"/>
    <n v="0"/>
    <n v="0"/>
    <x v="0"/>
    <x v="0"/>
    <x v="0"/>
    <s v="---"/>
    <n v="1"/>
    <n v="1"/>
    <n v="44"/>
    <n v="33"/>
    <n v="0"/>
    <n v="-33"/>
    <n v="48.40000000000001"/>
    <n v="33.79767586977361"/>
  </r>
  <r>
    <x v="2"/>
    <x v="0"/>
    <n v="2"/>
    <n v="1"/>
    <x v="1"/>
    <x v="1"/>
    <x v="0"/>
    <s v="---"/>
    <n v="1"/>
    <n v="1"/>
    <n v="572"/>
    <n v="429.0000000000001"/>
    <n v="0"/>
    <n v="-429.0000000000001"/>
    <n v="391.4229000000001"/>
    <n v="214.120192211697"/>
  </r>
  <r>
    <x v="2"/>
    <x v="0"/>
    <n v="4"/>
    <n v="2"/>
    <x v="2"/>
    <x v="2"/>
    <x v="1"/>
    <s v="---"/>
    <n v="1"/>
    <n v="1"/>
    <n v="660"/>
    <n v="495.0000000000001"/>
    <n v="0"/>
    <n v="-495.0000000000001"/>
    <n v="564.4771000000001"/>
    <n v="-42.03058578886794"/>
  </r>
  <r>
    <x v="3"/>
    <x v="0"/>
    <n v="0"/>
    <n v="0"/>
    <x v="0"/>
    <x v="0"/>
    <x v="0"/>
    <s v="---"/>
    <n v="1"/>
    <n v="1"/>
    <n v="44"/>
    <n v="33"/>
    <n v="0"/>
    <n v="-33"/>
    <n v="53.24000000000001"/>
    <n v="33.79767586977361"/>
  </r>
  <r>
    <x v="3"/>
    <x v="0"/>
    <n v="2"/>
    <n v="1"/>
    <x v="1"/>
    <x v="1"/>
    <x v="0"/>
    <s v="---"/>
    <n v="1"/>
    <n v="1"/>
    <n v="572"/>
    <n v="429.0000000000001"/>
    <n v="0"/>
    <n v="-429.0000000000001"/>
    <n v="430.5651900000001"/>
    <n v="214.120192211697"/>
  </r>
  <r>
    <x v="3"/>
    <x v="0"/>
    <n v="4"/>
    <n v="2"/>
    <x v="2"/>
    <x v="2"/>
    <x v="1"/>
    <s v="---"/>
    <n v="1"/>
    <n v="1"/>
    <n v="660"/>
    <n v="495.0000000000001"/>
    <n v="0"/>
    <n v="-495.0000000000001"/>
    <n v="620.9248100000001"/>
    <n v="-42.03058578886794"/>
  </r>
  <r>
    <x v="4"/>
    <x v="0"/>
    <n v="0"/>
    <n v="0"/>
    <x v="0"/>
    <x v="0"/>
    <x v="0"/>
    <s v="---"/>
    <n v="1"/>
    <n v="1"/>
    <n v="48.40000000000001"/>
    <n v="36.3"/>
    <n v="0"/>
    <n v="-36.3"/>
    <n v="58.56400000000001"/>
    <n v="37.17744345675098"/>
  </r>
  <r>
    <x v="4"/>
    <x v="0"/>
    <n v="2"/>
    <n v="1"/>
    <x v="1"/>
    <x v="1"/>
    <x v="0"/>
    <s v="---"/>
    <n v="1"/>
    <n v="1"/>
    <n v="629.2"/>
    <n v="471.9000000000001"/>
    <n v="0"/>
    <n v="-471.9000000000001"/>
    <n v="473.6217090000002"/>
    <n v="235.5322114328667"/>
  </r>
  <r>
    <x v="4"/>
    <x v="0"/>
    <n v="4"/>
    <n v="2"/>
    <x v="2"/>
    <x v="2"/>
    <x v="1"/>
    <s v="---"/>
    <n v="1"/>
    <n v="1"/>
    <n v="726.0000000000001"/>
    <n v="544.5000000000001"/>
    <n v="0"/>
    <n v="-544.5000000000001"/>
    <n v="683.0172910000001"/>
    <n v="-46.23364436775474"/>
  </r>
  <r>
    <x v="5"/>
    <x v="0"/>
    <n v="0"/>
    <n v="0"/>
    <x v="0"/>
    <x v="0"/>
    <x v="0"/>
    <s v="---"/>
    <n v="1"/>
    <n v="1"/>
    <n v="48.40000000000001"/>
    <n v="36.3"/>
    <n v="0"/>
    <n v="-36.3"/>
    <n v="64.42040000000001"/>
    <n v="37.17744345675098"/>
  </r>
  <r>
    <x v="5"/>
    <x v="0"/>
    <n v="2"/>
    <n v="1"/>
    <x v="1"/>
    <x v="1"/>
    <x v="0"/>
    <s v="---"/>
    <n v="1"/>
    <n v="1"/>
    <n v="629.2"/>
    <n v="471.9000000000001"/>
    <n v="0"/>
    <n v="-471.9000000000001"/>
    <n v="520.9838799000003"/>
    <n v="235.5322114328667"/>
  </r>
  <r>
    <x v="5"/>
    <x v="0"/>
    <n v="4"/>
    <n v="2"/>
    <x v="2"/>
    <x v="2"/>
    <x v="1"/>
    <s v="---"/>
    <n v="1"/>
    <n v="1"/>
    <n v="726.0000000000001"/>
    <n v="544.5000000000001"/>
    <n v="0"/>
    <n v="-544.5000000000001"/>
    <n v="751.3190201000002"/>
    <n v="-46.23364436775474"/>
  </r>
  <r>
    <x v="6"/>
    <x v="0"/>
    <n v="0"/>
    <n v="0"/>
    <x v="0"/>
    <x v="0"/>
    <x v="0"/>
    <s v="---"/>
    <n v="1"/>
    <n v="1"/>
    <n v="53.24000000000001"/>
    <n v="39.93000000000001"/>
    <n v="0"/>
    <n v="-39.93000000000001"/>
    <n v="70.86244000000002"/>
    <n v="40.89518780242608"/>
  </r>
  <r>
    <x v="6"/>
    <x v="0"/>
    <n v="2"/>
    <n v="1"/>
    <x v="1"/>
    <x v="1"/>
    <x v="0"/>
    <s v="---"/>
    <n v="1"/>
    <n v="1"/>
    <n v="692.1200000000001"/>
    <n v="519.0900000000001"/>
    <n v="0"/>
    <n v="-519.0900000000001"/>
    <n v="573.0822678900004"/>
    <n v="259.0854325761534"/>
  </r>
  <r>
    <x v="6"/>
    <x v="0"/>
    <n v="4"/>
    <n v="2"/>
    <x v="2"/>
    <x v="2"/>
    <x v="1"/>
    <s v="---"/>
    <n v="1"/>
    <n v="1"/>
    <n v="798.6000000000001"/>
    <n v="598.9500000000002"/>
    <n v="0"/>
    <n v="-598.9500000000002"/>
    <n v="826.4509221100003"/>
    <n v="-50.85700880453021"/>
  </r>
  <r>
    <x v="7"/>
    <x v="0"/>
    <n v="0"/>
    <n v="0"/>
    <x v="0"/>
    <x v="0"/>
    <x v="0"/>
    <s v="---"/>
    <n v="1"/>
    <n v="1"/>
    <n v="53.24000000000001"/>
    <n v="39.93000000000001"/>
    <n v="0"/>
    <n v="-39.93000000000001"/>
    <n v="77.94868400000003"/>
    <n v="40.89518780242608"/>
  </r>
  <r>
    <x v="7"/>
    <x v="0"/>
    <n v="2"/>
    <n v="1"/>
    <x v="1"/>
    <x v="1"/>
    <x v="0"/>
    <s v="---"/>
    <n v="1"/>
    <n v="1"/>
    <n v="692.1200000000001"/>
    <n v="519.0900000000001"/>
    <n v="0"/>
    <n v="-519.0900000000001"/>
    <n v="630.3904946790004"/>
    <n v="259.0854325761534"/>
  </r>
  <r>
    <x v="7"/>
    <x v="0"/>
    <n v="4"/>
    <n v="2"/>
    <x v="2"/>
    <x v="2"/>
    <x v="1"/>
    <s v="---"/>
    <n v="1"/>
    <n v="1"/>
    <n v="798.6000000000001"/>
    <n v="598.9500000000002"/>
    <n v="0"/>
    <n v="-598.9500000000002"/>
    <n v="909.0960143210004"/>
    <n v="-50.85700880453021"/>
  </r>
  <r>
    <x v="8"/>
    <x v="0"/>
    <n v="0"/>
    <n v="0"/>
    <x v="0"/>
    <x v="0"/>
    <x v="0"/>
    <s v="---"/>
    <n v="1"/>
    <n v="1"/>
    <n v="58.56400000000001"/>
    <n v="43.92300000000001"/>
    <n v="0"/>
    <n v="-43.92300000000001"/>
    <n v="85.74355240000004"/>
    <n v="44.98470658266869"/>
  </r>
  <r>
    <x v="8"/>
    <x v="0"/>
    <n v="2"/>
    <n v="1"/>
    <x v="1"/>
    <x v="1"/>
    <x v="0"/>
    <s v="---"/>
    <n v="1"/>
    <n v="1"/>
    <n v="761.3320000000002"/>
    <n v="570.9990000000003"/>
    <n v="0"/>
    <n v="-570.9990000000003"/>
    <n v="693.4295441469005"/>
    <n v="284.9939758337688"/>
  </r>
  <r>
    <x v="8"/>
    <x v="0"/>
    <n v="4"/>
    <n v="2"/>
    <x v="2"/>
    <x v="2"/>
    <x v="1"/>
    <s v="---"/>
    <n v="1"/>
    <n v="1"/>
    <n v="878.4600000000003"/>
    <n v="658.8450000000003"/>
    <n v="0"/>
    <n v="-658.8450000000003"/>
    <n v="1000.005615753101"/>
    <n v="-55.94270968498324"/>
  </r>
  <r>
    <x v="9"/>
    <x v="0"/>
    <n v="0"/>
    <n v="0"/>
    <x v="0"/>
    <x v="0"/>
    <x v="0"/>
    <s v="---"/>
    <n v="1"/>
    <n v="1"/>
    <n v="58.56400000000001"/>
    <n v="43.92300000000001"/>
    <n v="0"/>
    <n v="-43.92300000000001"/>
    <n v="94.31790764000006"/>
    <n v="44.98470658266869"/>
  </r>
  <r>
    <x v="9"/>
    <x v="0"/>
    <n v="2"/>
    <n v="1"/>
    <x v="1"/>
    <x v="1"/>
    <x v="0"/>
    <s v="---"/>
    <n v="1"/>
    <n v="1"/>
    <n v="761.3320000000002"/>
    <n v="570.9990000000003"/>
    <n v="0"/>
    <n v="-570.9990000000003"/>
    <n v="762.7724985615906"/>
    <n v="284.9939758337688"/>
  </r>
  <r>
    <x v="9"/>
    <x v="0"/>
    <n v="4"/>
    <n v="2"/>
    <x v="2"/>
    <x v="2"/>
    <x v="1"/>
    <s v="---"/>
    <n v="1"/>
    <n v="1"/>
    <n v="878.4600000000003"/>
    <n v="658.8450000000003"/>
    <n v="0"/>
    <n v="-658.8450000000003"/>
    <n v="1100.006177328411"/>
    <n v="-55.94270968498324"/>
  </r>
  <r>
    <x v="10"/>
    <x v="0"/>
    <n v="0"/>
    <n v="0"/>
    <x v="0"/>
    <x v="0"/>
    <x v="0"/>
    <s v="---"/>
    <n v="1"/>
    <n v="1"/>
    <n v="64.42040000000001"/>
    <n v="48.31530000000001"/>
    <n v="0"/>
    <n v="-48.31530000000001"/>
    <n v="103.7496984040001"/>
    <n v="49.48317724093557"/>
  </r>
  <r>
    <x v="10"/>
    <x v="0"/>
    <n v="2"/>
    <n v="1"/>
    <x v="1"/>
    <x v="1"/>
    <x v="0"/>
    <s v="---"/>
    <n v="1"/>
    <n v="1"/>
    <n v="837.4652000000003"/>
    <n v="628.0989000000003"/>
    <n v="0"/>
    <n v="-628.0989000000003"/>
    <n v="839.0497484177497"/>
    <n v="313.4933734171457"/>
  </r>
  <r>
    <x v="10"/>
    <x v="0"/>
    <n v="4"/>
    <n v="2"/>
    <x v="2"/>
    <x v="2"/>
    <x v="1"/>
    <s v="---"/>
    <n v="1"/>
    <n v="1"/>
    <n v="966.3060000000004"/>
    <n v="724.7295000000004"/>
    <n v="0"/>
    <n v="-724.7295000000004"/>
    <n v="1210.006795061252"/>
    <n v="-61.53698065348156"/>
  </r>
</pivotCacheRecords>
</file>

<file path=xl/pivotCache/pivotCacheRecords3.xml><?xml version="1.0" encoding="utf-8"?>
<pivotCacheRecords xmlns="http://schemas.openxmlformats.org/spreadsheetml/2006/main" count="10">
  <r>
    <x v="0"/>
    <x v="0"/>
    <x v="0"/>
    <n v="0"/>
    <x v="0"/>
    <n v="1"/>
    <n v="0.9999999999999999"/>
    <n v="3.273360854024771"/>
    <n v="-210"/>
    <n v="-30.72515988161237"/>
  </r>
  <r>
    <x v="0"/>
    <x v="1"/>
    <x v="0"/>
    <n v="1"/>
    <x v="0"/>
    <n v="1"/>
    <n v="0.9892612371179855"/>
    <n v="-0.7592692851644819"/>
    <n v="300"/>
    <n v="98.61"/>
  </r>
  <r>
    <x v="0"/>
    <x v="2"/>
    <x v="0"/>
    <n v="2"/>
    <x v="0"/>
    <n v="1"/>
    <n v="1"/>
    <n v="-0.4922586774046994"/>
    <n v="-23.49000000000001"/>
    <n v="-96.04472019245181"/>
  </r>
  <r>
    <x v="0"/>
    <x v="3"/>
    <x v="0"/>
    <n v="3"/>
    <x v="0"/>
    <n v="1"/>
    <n v="1"/>
    <n v="0"/>
    <n v="394.972819956716"/>
    <n v="-52.65293014967654"/>
  </r>
  <r>
    <x v="0"/>
    <x v="4"/>
    <x v="0"/>
    <n v="4"/>
    <x v="0"/>
    <n v="1"/>
    <n v="0.9999999999999999"/>
    <n v="4.112031000646839"/>
    <n v="-466.51"/>
    <n v="38.2096234444254"/>
  </r>
  <r>
    <x v="1"/>
    <x v="0"/>
    <x v="0"/>
    <n v="0"/>
    <x v="0"/>
    <n v="1"/>
    <n v="0.9999999999999999"/>
    <n v="3.273360854024771"/>
    <n v="-210"/>
    <n v="-30.72515988161237"/>
  </r>
  <r>
    <x v="1"/>
    <x v="1"/>
    <x v="0"/>
    <n v="1"/>
    <x v="0"/>
    <n v="1"/>
    <n v="0.9892612371179855"/>
    <n v="-0.7592692851644819"/>
    <n v="300"/>
    <n v="98.61"/>
  </r>
  <r>
    <x v="1"/>
    <x v="2"/>
    <x v="0"/>
    <n v="2"/>
    <x v="0"/>
    <n v="1"/>
    <n v="1"/>
    <n v="-0.4922586774046994"/>
    <n v="-23.49000000000001"/>
    <n v="-96.04472019245181"/>
  </r>
  <r>
    <x v="1"/>
    <x v="3"/>
    <x v="0"/>
    <n v="3"/>
    <x v="0"/>
    <n v="1"/>
    <n v="1"/>
    <n v="0"/>
    <n v="394.972819956716"/>
    <n v="-52.65293014967654"/>
  </r>
  <r>
    <x v="1"/>
    <x v="4"/>
    <x v="0"/>
    <n v="4"/>
    <x v="0"/>
    <n v="1"/>
    <n v="0.9999999999999999"/>
    <n v="4.112031000646839"/>
    <n v="-466.51"/>
    <n v="38.2096234444254"/>
  </r>
</pivotCacheRecords>
</file>

<file path=xl/pivotCache/pivotCacheRecords4.xml><?xml version="1.0" encoding="utf-8"?>
<pivotCacheRecords xmlns="http://schemas.openxmlformats.org/spreadsheetml/2006/main" count="66">
  <r>
    <x v="0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766612263700097"/>
    <n v="16.96172758188619"/>
    <n v="62.68569494400224"/>
  </r>
  <r>
    <x v="0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062745849092551"/>
    <n v="9.96945849092544"/>
    <n v="0.0004694061254276349"/>
  </r>
  <r>
    <x v="0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314576152193069"/>
    <n v="0.1885761522042877"/>
    <n v="0.0005716431657691225"/>
  </r>
  <r>
    <x v="0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254174606009926"/>
    <n v="-0.5780439924030958"/>
    <n v="0.0002725195947164952"/>
  </r>
  <r>
    <x v="0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460713215354815"/>
    <n v="-0.4279286784644367"/>
    <n v="7.234050190158276e-05"/>
  </r>
  <r>
    <x v="0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716339722517489"/>
    <n v="16.48939722517456"/>
    <n v="100.1731638810112"/>
  </r>
  <r>
    <x v="1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943273490070107"/>
    <n v="16.96172758188619"/>
    <n v="68.95426443840248"/>
  </r>
  <r>
    <x v="1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169020434001806"/>
    <n v="9.96945849092544"/>
    <n v="0.0005163467379703984"/>
  </r>
  <r>
    <x v="1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646033767412376"/>
    <n v="0.1885761522042877"/>
    <n v="0.0006288074823460349"/>
  </r>
  <r>
    <x v="1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379592066610919"/>
    <n v="-0.5780439924030958"/>
    <n v="0.0002997715541881448"/>
  </r>
  <r>
    <x v="1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706784536890297"/>
    <n v="-0.4279286784644367"/>
    <n v="7.957455209174104e-05"/>
  </r>
  <r>
    <x v="1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887973694769238"/>
    <n v="16.48939722517456"/>
    <n v="110.1904802691123"/>
  </r>
  <r>
    <x v="2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137600839077118"/>
    <n v="16.96172758188619"/>
    <n v="75.84969088224273"/>
  </r>
  <r>
    <x v="2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285922477401987"/>
    <n v="9.96945849092544"/>
    <n v="0.0005679814117674384"/>
  </r>
  <r>
    <x v="2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010637144153614"/>
    <n v="0.1885761522042877"/>
    <n v="0.0006916882305806384"/>
  </r>
  <r>
    <x v="2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517551273272011"/>
    <n v="-0.5780439924030958"/>
    <n v="0.0003297487096069593"/>
  </r>
  <r>
    <x v="2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977462990579327"/>
    <n v="-0.4279286784644367"/>
    <n v="8.753200730091515e-05"/>
  </r>
  <r>
    <x v="2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076771064246162"/>
    <n v="16.48939722517456"/>
    <n v="121.2095282960236"/>
  </r>
  <r>
    <x v="3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35136092298483"/>
    <n v="16.96172758188619"/>
    <n v="83.43465997046701"/>
  </r>
  <r>
    <x v="3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414514725142186"/>
    <n v="9.96945849092544"/>
    <n v="0.0006247795529441822"/>
  </r>
  <r>
    <x v="3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411700858568975"/>
    <n v="0.1885761522042877"/>
    <n v="0.0007608570536387023"/>
  </r>
  <r>
    <x v="3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669306400599212"/>
    <n v="-0.5780439924030958"/>
    <n v="0.0003627235805676552"/>
  </r>
  <r>
    <x v="3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27520928963726"/>
    <n v="-0.4279286784644367"/>
    <n v="9.628520803100668e-05"/>
  </r>
  <r>
    <x v="3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284448170670779"/>
    <n v="16.48939722517456"/>
    <n v="133.330481125626"/>
  </r>
  <r>
    <x v="4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586497015283313"/>
    <n v="16.96172758188619"/>
    <n v="91.77812596751372"/>
  </r>
  <r>
    <x v="4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555966197656404"/>
    <n v="9.96945849092544"/>
    <n v="0.0006872575082386004"/>
  </r>
  <r>
    <x v="4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852870944425873"/>
    <n v="0.1885761522042877"/>
    <n v="0.0008369427590025726"/>
  </r>
  <r>
    <x v="4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836237040659133"/>
    <n v="-0.5780439924030958"/>
    <n v="0.0003989959386244208"/>
  </r>
  <r>
    <x v="4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602730218600986"/>
    <n v="-0.4279286784644367"/>
    <n v="0.0001059137288341074"/>
  </r>
  <r>
    <x v="4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512892987737857"/>
    <n v="16.48939722517456"/>
    <n v="146.6635292381886"/>
  </r>
  <r>
    <x v="5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845146716811644"/>
    <n v="16.96172758188619"/>
    <n v="100.9559385642651"/>
  </r>
  <r>
    <x v="5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711562817422045"/>
    <n v="9.96945849092544"/>
    <n v="0.0007559832590624605"/>
  </r>
  <r>
    <x v="5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338158038868461"/>
    <n v="0.1885761522042877"/>
    <n v="0.0009206370349028299"/>
  </r>
  <r>
    <x v="5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019860744725047"/>
    <n v="-0.5780439924030958"/>
    <n v="0.0004388955324868629"/>
  </r>
  <r>
    <x v="5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963003240461085"/>
    <n v="-0.4279286784644367"/>
    <n v="0.0001165051017175181"/>
  </r>
  <r>
    <x v="5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764182286511643"/>
    <n v="16.48939722517456"/>
    <n v="161.3298821620074"/>
  </r>
  <r>
    <x v="6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129661388492809"/>
    <n v="16.96172758188619"/>
    <n v="111.0515324206916"/>
  </r>
  <r>
    <x v="6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88271909916425"/>
    <n v="9.96945849092544"/>
    <n v="0.0008315815849687066"/>
  </r>
  <r>
    <x v="6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871973842755308"/>
    <n v="0.1885761522042877"/>
    <n v="0.001012700738393113"/>
  </r>
  <r>
    <x v="6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221846819197552"/>
    <n v="-0.5780439924030958"/>
    <n v="0.0004827850857355492"/>
  </r>
  <r>
    <x v="6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359303564507194"/>
    <n v="-0.4279286784644367"/>
    <n v="0.0001281556118892699"/>
  </r>
  <r>
    <x v="6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040600515162807"/>
    <n v="16.48939722517456"/>
    <n v="177.4628703782082"/>
  </r>
  <r>
    <x v="7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44262752734209"/>
    <n v="16.96172758188619"/>
    <n v="122.1566856627608"/>
  </r>
  <r>
    <x v="7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2.070991009080675"/>
    <n v="9.96945849092544"/>
    <n v="0.0009147397434655773"/>
  </r>
  <r>
    <x v="7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645917122703084"/>
    <n v="0.1885761522042877"/>
    <n v="0.001113970812232424"/>
  </r>
  <r>
    <x v="7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444031501117307"/>
    <n v="-0.5780439924030958"/>
    <n v="0.0005310635943091041"/>
  </r>
  <r>
    <x v="7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795233920957914"/>
    <n v="-0.4279286784644367"/>
    <n v="0.0001409711730781969"/>
  </r>
  <r>
    <x v="7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344660566679089"/>
    <n v="16.48939722517456"/>
    <n v="195.2091574160291"/>
  </r>
  <r>
    <x v="8"/>
    <x v="0"/>
    <n v="0"/>
    <x v="0"/>
    <s v="---"/>
    <n v="0"/>
    <n v="1"/>
    <n v="1"/>
    <n v="1"/>
    <n v="1.00408742467761"/>
    <n v="100"/>
    <n v="1"/>
    <s v="---"/>
    <n v="-447.748718749973"/>
    <n v="61.6486370550474"/>
    <n v="451.156791062854"/>
    <n v="-28.2419139262338"/>
    <n v="3.7868902800763"/>
    <n v="33.4067231288136"/>
    <n v="134.3723542290369"/>
  </r>
  <r>
    <x v="8"/>
    <x v="0"/>
    <n v="1"/>
    <x v="1"/>
    <s v="---"/>
    <n v="0"/>
    <n v="3"/>
    <n v="1"/>
    <n v="1"/>
    <n v="99999"/>
    <n v="100"/>
    <n v="1"/>
    <s v="---"/>
    <n v="-657.30874953326"/>
    <n v="91.147889714713"/>
    <n v="662.408554436504"/>
    <n v="-40.8238406822604"/>
    <n v="2.278090109988742"/>
    <n v="50.3240490324526"/>
    <n v="0.001006213717812135"/>
  </r>
  <r>
    <x v="8"/>
    <x v="0"/>
    <n v="2"/>
    <x v="1"/>
    <s v="---"/>
    <n v="0"/>
    <n v="4"/>
    <n v="1"/>
    <n v="1"/>
    <n v="99999"/>
    <n v="100"/>
    <n v="1"/>
    <s v="---"/>
    <n v="-866.868780316546"/>
    <n v="120.647142374379"/>
    <n v="873.660317810155"/>
    <n v="-53.4057674382871"/>
    <n v="0.7105088349733925"/>
    <n v="67.2413749360916"/>
    <n v="0.001225367893455667"/>
  </r>
  <r>
    <x v="8"/>
    <x v="0"/>
    <n v="3"/>
    <x v="1"/>
    <s v="---"/>
    <n v="1"/>
    <n v="2"/>
    <n v="1"/>
    <n v="1"/>
    <n v="99999"/>
    <n v="100"/>
    <n v="1"/>
    <s v="---"/>
    <n v="-1076.42881109983"/>
    <n v="150.146395034044"/>
    <n v="1084.9120811838"/>
    <n v="-65.9876941943137"/>
    <n v="0.2688434651229038"/>
    <n v="84.1587008397306"/>
    <n v="0.0005841699537400145"/>
  </r>
  <r>
    <x v="8"/>
    <x v="0"/>
    <n v="4"/>
    <x v="1"/>
    <s v="---"/>
    <n v="2"/>
    <n v="3"/>
    <n v="1"/>
    <n v="1"/>
    <n v="99999"/>
    <n v="100"/>
    <n v="1"/>
    <s v="---"/>
    <n v="-1285.98884188312"/>
    <n v="179.64564769371"/>
    <n v="1296.16384455745"/>
    <n v="-78.56962095034039"/>
    <n v="0.05274757313053705"/>
    <n v="101.07602674337"/>
    <n v="0.0001550682903860166"/>
  </r>
  <r>
    <x v="8"/>
    <x v="0"/>
    <n v="5"/>
    <x v="1"/>
    <s v="---"/>
    <n v="3"/>
    <n v="4"/>
    <n v="1"/>
    <n v="1"/>
    <n v="0.6024524548065699"/>
    <n v="100"/>
    <n v="1"/>
    <s v="---"/>
    <n v="-1495.54887266641"/>
    <n v="209.144900353375"/>
    <n v="1507.4156079311"/>
    <n v="-91.151547706367"/>
    <n v="3.679126623346998"/>
    <n v="117.993352647009"/>
    <n v="214.730073157632"/>
  </r>
  <r>
    <x v="9"/>
    <x v="0"/>
    <n v="0"/>
    <x v="0"/>
    <s v="---"/>
    <n v="0"/>
    <n v="1"/>
    <n v="1"/>
    <n v="1"/>
    <n v="1.00408742467761"/>
    <n v="100"/>
    <n v="1"/>
    <s v="---"/>
    <n v="-1705.10890344969"/>
    <n v="238.644153013041"/>
    <n v="1718.66737130475"/>
    <n v="-103.733474462394"/>
    <n v="4.16557930808393"/>
    <n v="134.910678550648"/>
    <n v="147.8095896519406"/>
  </r>
  <r>
    <x v="9"/>
    <x v="0"/>
    <n v="1"/>
    <x v="1"/>
    <s v="---"/>
    <n v="0"/>
    <n v="3"/>
    <n v="1"/>
    <n v="1"/>
    <n v="99999"/>
    <n v="100"/>
    <n v="1"/>
    <s v="---"/>
    <n v="-1914.66893423298"/>
    <n v="268.143405672707"/>
    <n v="1929.9191346784"/>
    <n v="-116.315401218421"/>
    <n v="2.505899120987617"/>
    <n v="151.828004454287"/>
    <n v="0.001106835089593349"/>
  </r>
  <r>
    <x v="9"/>
    <x v="0"/>
    <n v="2"/>
    <x v="1"/>
    <s v="---"/>
    <n v="0"/>
    <n v="4"/>
    <n v="1"/>
    <n v="1"/>
    <n v="99999"/>
    <n v="100"/>
    <n v="1"/>
    <s v="---"/>
    <n v="-2124.22896501627"/>
    <n v="297.642658332372"/>
    <n v="2141.17089805206"/>
    <n v="-128.897327974447"/>
    <n v="0.7815597184707318"/>
    <n v="168.745330357926"/>
    <n v="0.001347904682801234"/>
  </r>
  <r>
    <x v="9"/>
    <x v="0"/>
    <n v="3"/>
    <x v="1"/>
    <s v="---"/>
    <n v="1"/>
    <n v="2"/>
    <n v="1"/>
    <n v="1"/>
    <n v="99999"/>
    <n v="100"/>
    <n v="1"/>
    <s v="---"/>
    <n v="-2333.78899579955"/>
    <n v="327.141910992038"/>
    <n v="2352.42266142571"/>
    <n v="-141.479254730474"/>
    <n v="0.2957278116351942"/>
    <n v="185.662656261565"/>
    <n v="0.000642586949114016"/>
  </r>
  <r>
    <x v="9"/>
    <x v="0"/>
    <n v="4"/>
    <x v="1"/>
    <s v="---"/>
    <n v="2"/>
    <n v="3"/>
    <n v="1"/>
    <n v="1"/>
    <n v="99999"/>
    <n v="100"/>
    <n v="1"/>
    <s v="---"/>
    <n v="-2543.34902658284"/>
    <n v="356.641163651704"/>
    <n v="2563.67442479936"/>
    <n v="-154.061181486501"/>
    <n v="0.05802233044359077"/>
    <n v="202.579982165204"/>
    <n v="0.0001705751194246183"/>
  </r>
  <r>
    <x v="9"/>
    <x v="0"/>
    <n v="5"/>
    <x v="1"/>
    <s v="---"/>
    <n v="3"/>
    <n v="4"/>
    <n v="1"/>
    <n v="1"/>
    <n v="0.6024524548065699"/>
    <n v="100"/>
    <n v="1"/>
    <s v="---"/>
    <n v="-2752.90905736613"/>
    <n v="386.140416311369"/>
    <n v="2774.92618817301"/>
    <n v="-166.643108242527"/>
    <n v="4.047039285681698"/>
    <n v="219.497308068843"/>
    <n v="236.2030804733952"/>
  </r>
  <r>
    <x v="10"/>
    <x v="0"/>
    <n v="0"/>
    <x v="0"/>
    <s v="---"/>
    <n v="0"/>
    <n v="1"/>
    <n v="1"/>
    <n v="1"/>
    <n v="1.00408742467761"/>
    <n v="100"/>
    <n v="1"/>
    <s v="---"/>
    <n v="-2962.46908814941"/>
    <n v="415.639668971035"/>
    <n v="2986.17795154666"/>
    <n v="-179.225034998554"/>
    <n v="4.582137238892323"/>
    <n v="236.414633972482"/>
    <n v="162.5905486171346"/>
  </r>
  <r>
    <x v="10"/>
    <x v="0"/>
    <n v="1"/>
    <x v="1"/>
    <s v="---"/>
    <n v="0"/>
    <n v="3"/>
    <n v="1"/>
    <n v="1"/>
    <n v="99999"/>
    <n v="100"/>
    <n v="1"/>
    <s v="---"/>
    <n v="-3172.0291189327"/>
    <n v="445.138921630701"/>
    <n v="3197.42971492031"/>
    <n v="-191.806961754581"/>
    <n v="2.756489033086379"/>
    <n v="253.331959876121"/>
    <n v="0.001217518598552684"/>
  </r>
  <r>
    <x v="10"/>
    <x v="0"/>
    <n v="2"/>
    <x v="1"/>
    <s v="---"/>
    <n v="0"/>
    <n v="4"/>
    <n v="1"/>
    <n v="1"/>
    <n v="99999"/>
    <n v="100"/>
    <n v="1"/>
    <s v="---"/>
    <n v="-3381.58914971598"/>
    <n v="474.638174290366"/>
    <n v="3408.68147829396"/>
    <n v="-204.388888510607"/>
    <n v="0.859715690317805"/>
    <n v="270.24928577976"/>
    <n v="0.001482695151081358"/>
  </r>
  <r>
    <x v="10"/>
    <x v="0"/>
    <n v="3"/>
    <x v="1"/>
    <s v="---"/>
    <n v="1"/>
    <n v="2"/>
    <n v="1"/>
    <n v="1"/>
    <n v="99999"/>
    <n v="100"/>
    <n v="1"/>
    <s v="---"/>
    <n v="-3591.14918049927"/>
    <n v="504.137426950032"/>
    <n v="3619.93324166761"/>
    <n v="-216.970815266634"/>
    <n v="0.3253005927987137"/>
    <n v="287.166611683399"/>
    <n v="0.0007068456440254176"/>
  </r>
  <r>
    <x v="10"/>
    <x v="0"/>
    <n v="4"/>
    <x v="1"/>
    <s v="---"/>
    <n v="2"/>
    <n v="3"/>
    <n v="1"/>
    <n v="1"/>
    <n v="99999"/>
    <n v="100"/>
    <n v="1"/>
    <s v="---"/>
    <n v="-3800.70921128256"/>
    <n v="533.636679609698"/>
    <n v="3831.18500504126"/>
    <n v="-229.552742022661"/>
    <n v="0.06382456348794985"/>
    <n v="304.083937587038"/>
    <n v="0.0001876326313670801"/>
  </r>
  <r>
    <x v="10"/>
    <x v="0"/>
    <n v="5"/>
    <x v="1"/>
    <s v="---"/>
    <n v="3"/>
    <n v="4"/>
    <n v="1"/>
    <n v="1"/>
    <n v="0.6024524548065699"/>
    <n v="100"/>
    <n v="1"/>
    <s v="---"/>
    <n v="-4010.26924206584"/>
    <n v="563.135932269363"/>
    <n v="4042.43676841491"/>
    <n v="-242.134668778687"/>
    <n v="4.451743214249868"/>
    <n v="321.001263490677"/>
    <n v="259.8233885207347"/>
  </r>
</pivotCacheRecords>
</file>

<file path=xl/pivotCache/pivotCacheRecords5.xml><?xml version="1.0" encoding="utf-8"?>
<pivotCacheRecords xmlns="http://schemas.openxmlformats.org/spreadsheetml/2006/main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2.42563832807324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3.4256383280732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4.4256383280732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5.4256383280732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6.4256383280732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7.4256383280732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8.4256383280732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9.4256383280732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0.4256383280732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1.4256383280732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2.4256383280732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3.4256383280732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4.42563832807321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5.42563832807321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6.42563832807321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7.42563832807321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8.42563832807321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9.42563832807321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0.42563832807321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1.42563832807321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2.42563832807321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3.42563832807321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4.42563832807321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5.42563832807321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6.42563832807321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7.42563832807321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8.42563832807321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9.42563832807321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0.42563832807321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1.42563832807321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2.42563832807321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3.42563832807321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4.42563832807321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5.42563832807321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6.42563832807321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7.42563832807321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8.42563832807321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9.42563832807321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0.42563832807321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1.4256383280732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5" hier="-1"/>
  </pageFields>
  <dataFields count="1">
    <dataField name="Sum of Active Power [MW]" fld="6" subtotal="sum" showDataAs="normal" baseField="0" baseItem="0"/>
  </dataFields>
  <chartFormats count="2">
    <chartFormat chart="1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0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I17" firstHeaderRow="1" firstDataRow="3" firstDataCol="1" rowPageCount="1" colPageCount="2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4"/>
    <field x="5"/>
  </colFields>
  <colItems count="7">
    <i t="data" r="0" i="0">
      <x v="0"/>
      <x v="1"/>
    </i>
    <i t="default" r="0" i="0">
      <x v="0"/>
    </i>
    <i t="data" r="0" i="0">
      <x v="1"/>
      <x v="0"/>
    </i>
    <i t="default" r="0" i="0">
      <x v="1"/>
    </i>
    <i t="data" r="0" i="0">
      <x v="2"/>
      <x v="2"/>
    </i>
    <i t="default" r="0" i="0">
      <x v="2"/>
    </i>
    <i t="grand" r="0" i="0">
      <x v="0"/>
    </i>
  </colItems>
  <pageFields count="2">
    <pageField fld="1" hier="-1"/>
    <pageField fld="6" hier="-1"/>
  </pageFields>
  <dataFields count="1">
    <dataField name="Sum of  Active Power [MW]" fld="14" subtotal="sum" showDataAs="normal" baseField="0" baseItem="0"/>
  </dataFields>
  <chartFormats count="12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3" format="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3" format="1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3" format="11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1" format="12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1" format="13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1" format="14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7" format="1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7" format="1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7" format="2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B13" firstHeaderRow="1" firstDataRow="1" firstDataCol="1"/>
  <pivotFields count="16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3">
    <field x="4"/>
    <field x="5"/>
    <field x="6"/>
  </rowFields>
  <rowItems count="10">
    <i t="data" r="0" i="0">
      <x v="0"/>
    </i>
    <i t="data" r="1" i="0">
      <x v="1"/>
    </i>
    <i t="data" r="2" i="0">
      <x v="0"/>
    </i>
    <i t="data" r="0" i="0">
      <x v="1"/>
    </i>
    <i t="data" r="1" i="0">
      <x v="0"/>
    </i>
    <i t="data" r="2" i="0">
      <x v="0"/>
    </i>
    <i t="data" r="0" i="0">
      <x v="2"/>
    </i>
    <i t="data" r="1" i="0">
      <x v="2"/>
    </i>
    <i t="data" r="2" i="0">
      <x v="1"/>
    </i>
    <i t="grand" r="0" i="0">
      <x v="0"/>
    </i>
  </rowItems>
  <colItems count="1">
    <i t="data" r="0" i="0"/>
  </colItems>
  <dataFields count="1">
    <dataField name="Sum of  Active Power [MW]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10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x="0"/>
        <item t="data" sd="1" x="1"/>
        <item t="data" sd="1" x="2"/>
        <item t="data" sd="1" x="3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6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grand" r="0" i="0">
      <x v="0"/>
    </i>
  </rowItems>
  <colItems count="1">
    <i t="data" r="0" i="0"/>
  </colItems>
  <pageFields count="2">
    <pageField fld="0" item="0" hier="-1"/>
    <pageField fld="2" hier="-1"/>
  </pageFields>
  <dataFields count="1">
    <dataField name="Sum of Voltage [p.u]" fld="6" subtotal="sum" showDataAs="normal" baseField="1" baseItem="2"/>
  </dataFields>
  <chartFormats count="1"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1" hier="-1"/>
    <pageField fld="3" hier="-1"/>
  </pageFields>
  <dataFields count="3">
    <dataField name="Max of Loading Percent [%]" fld="19" subtotal="max" showDataAs="normal" baseField="0" baseItem="0"/>
    <dataField name="Average of Loading Percent [%]" fld="19" subtotal="average" showDataAs="normal" baseField="0" baseItem="0"/>
    <dataField name="Min of Loading Percent [%]2" fld="19" subtotal="min" showDataAs="normal" baseField="0" baseItem="0"/>
  </dataFields>
  <chartFormats count="15">
    <chartFormat chart="2" format="12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3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5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6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7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8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9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0"/>
          </reference>
        </references>
      </pivotArea>
    </chartFormat>
    <chartFormat chart="2" format="20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0"/>
          </reference>
        </references>
      </pivotArea>
    </chartFormat>
    <chartFormat chart="2" format="2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  <chartFormat chart="2" format="22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1"/>
          </reference>
        </references>
      </pivotArea>
    </chartFormat>
    <chartFormat chart="2" format="23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1"/>
          </reference>
        </references>
      </pivotArea>
    </chartFormat>
    <chartFormat chart="2" format="24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5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26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3" hier="-1"/>
  </pageFields>
  <dataFields count="1">
    <dataField name="Sum of Losses [MW]" fld="17" subtotal="sum" showDataAs="normal" baseField="0" baseItem="0"/>
  </dataFields>
  <chartFormats count="1">
    <chartFormat chart="2" format="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8" firstHeaderRow="1" firstDataRow="3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7"/>
    <field x="8"/>
  </colFields>
  <colItems count="3">
    <i t="data" r="0" i="0">
      <x v="0"/>
      <x v="0"/>
    </i>
    <i t="default" r="0" i="0">
      <x v="0"/>
    </i>
    <i t="grand" r="0" i="0">
      <x v="0"/>
    </i>
  </colItems>
  <pageFields count="1">
    <pageField fld="1" hier="-1"/>
  </pageFields>
  <dataFields count="1">
    <dataField name="Sum of Losses [MW]" fld="18" subtotal="sum" showDataAs="normal" baseField="0" baseItem="0"/>
  </dataFields>
  <chartFormats count="1">
    <chartFormat chart="2" format="2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J19" firstHeaderRow="1" firstDataRow="4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3">
    <field x="-2"/>
    <field x="7"/>
    <field x="8"/>
  </colFields>
  <colItems count="9">
    <i t="data" r="0" i="0">
      <x v="0"/>
      <x v="0"/>
      <x v="0"/>
    </i>
    <i t="default" r="1" i="0">
      <x v="0"/>
    </i>
    <i t="data" r="0" i="1">
      <x v="1"/>
      <x v="0"/>
      <x v="0"/>
    </i>
    <i t="default" r="1" i="1">
      <x v="0"/>
    </i>
    <i t="data" r="0" i="2">
      <x v="2"/>
      <x v="0"/>
      <x v="0"/>
    </i>
    <i t="default" r="1" i="2">
      <x v="0"/>
    </i>
    <i t="grand" r="0" i="0">
      <x v="0"/>
    </i>
    <i t="grand" r="0" i="1">
      <x v="0"/>
    </i>
    <i t="grand" r="0" i="2">
      <x v="0"/>
    </i>
  </colItems>
  <pageFields count="1">
    <pageField fld="1" hier="-1"/>
  </pageFields>
  <dataFields count="3">
    <dataField name="Max of Loading Percent [%]" fld="20" subtotal="max" showDataAs="normal" baseField="0" baseItem="0"/>
    <dataField name="Average of Loading Percent [%]2" fld="20" subtotal="average" showDataAs="normal" baseField="0" baseItem="3"/>
    <dataField name="Min of Loading Percent [%]3" fld="20" subtotal="min" showDataAs="normal" baseField="0" baseItem="0"/>
  </dataFields>
  <chartFormats count="3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1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2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_table" displayName="demand_table" ref="B3:I53" headerRowCount="1" totalsRowShown="0" headerRowDxfId="44">
  <autoFilter ref="B3:I36"/>
  <tableColumns count="8">
    <tableColumn id="8" name="Step"/>
    <tableColumn id="2" name="Zone"/>
    <tableColumn id="7" name="Load Index"/>
    <tableColumn id="3" name="Bus Index"/>
    <tableColumn id="4" name="In service"/>
    <tableColumn id="1" name="Voltage Level [kV]"/>
    <tableColumn id="5" name="Active Power [MW]"/>
    <tableColumn id="6" name="Reactive Power [MVAr]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_table" displayName="generation_table" ref="B3:Q5" headerRowCount="1" totalsRowShown="0" headerRowDxfId="43">
  <autoFilter ref="B3:Q36"/>
  <tableColumns count="16">
    <tableColumn id="16" name="Step"/>
    <tableColumn id="1" name="Zone"/>
    <tableColumn id="2" name="Bus Index"/>
    <tableColumn id="14" name="Generator Index"/>
    <tableColumn id="15" name="Fuel"/>
    <tableColumn id="7" name="Technology"/>
    <tableColumn id="3" name="Voltage Level [kV]"/>
    <tableColumn id="4" name="Name"/>
    <tableColumn id="5" name="In Service"/>
    <tableColumn id="6" name="Voltage [p.u]"/>
    <tableColumn id="8" name="Maximum Active Power [MW]"/>
    <tableColumn id="9" name="Maximum Reactive Power [MVAr]"/>
    <tableColumn id="10" name="Minimum Active Power [MW]"/>
    <tableColumn id="11" name="Minimum Reactive Power [MVAr]"/>
    <tableColumn id="12" name=" Active Power [MW]"/>
    <tableColumn id="13" name=" Reactive Power [MVAr]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_table" displayName="bus_table" ref="B3:K117" headerRowCount="1" totalsRowShown="0" headerRowDxfId="42">
  <autoFilter ref="B3:K13"/>
  <tableColumns count="10">
    <tableColumn id="10" name="Step"/>
    <tableColumn id="1" name="Bus Index"/>
    <tableColumn id="2" name="Zone"/>
    <tableColumn id="3" name="Name"/>
    <tableColumn id="4" name="Voltage Level [kV]"/>
    <tableColumn id="5" name="In Service"/>
    <tableColumn id="6" name="Voltage [p.u]"/>
    <tableColumn id="7" name="Voltage Phase [degree]"/>
    <tableColumn id="8" name="Active Power [MW]"/>
    <tableColumn id="9" name="Reactive Power [MVAr]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_table" displayName="lines_table" ref="B3:U53" headerRowCount="1" totalsRowShown="0" headerRowDxfId="41">
  <autoFilter ref="B3:U69"/>
  <tableColumns count="20">
    <tableColumn id="19" name="Step"/>
    <tableColumn id="1" name="Zone"/>
    <tableColumn id="14" name="Line Index"/>
    <tableColumn id="3" name="Voltage Level [kV]"/>
    <tableColumn id="4" name="Name"/>
    <tableColumn id="5" name="From bus"/>
    <tableColumn id="6" name="To Bus"/>
    <tableColumn id="8" name="In service"/>
    <tableColumn id="9" name="Length [km]"/>
    <tableColumn id="10" name="Maximum Current [kA]"/>
    <tableColumn id="11" name="Maximum Loading [%]"/>
    <tableColumn id="12" name="Number of Lines in Parallel"/>
    <tableColumn id="13" name="Std. Type"/>
    <tableColumn id="2" name="From Bus Act. Power [MW]"/>
    <tableColumn id="7" name="From Bus Raact. Power [MVAr]"/>
    <tableColumn id="15" name="To Bus Act. Power [MW]"/>
    <tableColumn id="16" name="To Bus Raact. Power [MVAr]"/>
    <tableColumn id="17" name="Losses [MW]"/>
    <tableColumn id="18" name="Losses [MVAr]"/>
    <tableColumn id="23" name="Loading Percent [%]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_table" displayName="trafos_table" ref="B3:V7" headerRowCount="1" totalsRowShown="0" headerRowDxfId="40">
  <autoFilter ref="B3:V56"/>
  <tableColumns count="21">
    <tableColumn id="20" name="Time Step"/>
    <tableColumn id="1" name="Zone" dataDxfId="39" totalsRowDxfId="38"/>
    <tableColumn id="14" name="Trafo Index" dataDxfId="37" totalsRowDxfId="36"/>
    <tableColumn id="3" name="Name" dataDxfId="35" totalsRowDxfId="34"/>
    <tableColumn id="4" name="Std Type" dataDxfId="33" totalsRowDxfId="32"/>
    <tableColumn id="5" name="HV Bus" dataDxfId="31" totalsRowDxfId="30"/>
    <tableColumn id="6" name="LV Bus" dataDxfId="29" totalsRowDxfId="28"/>
    <tableColumn id="8" name="High Voltage Side [kV]" dataDxfId="27" totalsRowDxfId="26"/>
    <tableColumn id="10" name="Low Voltage Side [kV] " dataDxfId="25" totalsRowDxfId="24"/>
    <tableColumn id="11" name="FE Losses [kW]" dataDxfId="23" totalsRowDxfId="22"/>
    <tableColumn id="12" name="Shift Degree" dataDxfId="21" totalsRowDxfId="20"/>
    <tableColumn id="13" name="Tap Position" dataDxfId="19" totalsRowDxfId="18"/>
    <tableColumn id="2" name="Number of Trafos in Parallel" dataDxfId="17" totalsRowDxfId="16"/>
    <tableColumn id="7" name="In Service" dataDxfId="15" totalsRowDxfId="14"/>
    <tableColumn id="15" name="HV Act. Power [MW]" dataDxfId="13" totalsRowDxfId="12"/>
    <tableColumn id="16" name="HV React. Power [MVAr]" dataDxfId="11" totalsRowDxfId="10"/>
    <tableColumn id="17" name="LV Act. Power [MW]" dataDxfId="9" totalsRowDxfId="8"/>
    <tableColumn id="18" name="LV React. Power [MVAr]" dataDxfId="7" totalsRowDxfId="6"/>
    <tableColumn id="23" name="Losses [MW]" dataDxfId="5" totalsRowDxfId="4"/>
    <tableColumn id="9" name="Losses [MVAr]" dataDxfId="3" totalsRowDxfId="2"/>
    <tableColumn id="19" name="Loading Percent [%]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B18:E87"/>
  <sheetViews>
    <sheetView tabSelected="1" topLeftCell="A4" workbookViewId="0">
      <selection activeCell="G20" sqref="G20"/>
    </sheetView>
  </sheetViews>
  <sheetFormatPr baseColWidth="8" defaultRowHeight="14.4"/>
  <sheetData>
    <row r="18">
      <c r="B18" t="n">
        <v>1</v>
      </c>
      <c r="C18" t="n">
        <v>0</v>
      </c>
      <c r="D18" t="n">
        <v>47</v>
      </c>
      <c r="E18" t="n">
        <v>0.9471622098778936</v>
      </c>
    </row>
    <row r="19">
      <c r="B19" t="n">
        <v>1</v>
      </c>
      <c r="C19" t="n">
        <v>1</v>
      </c>
      <c r="D19" t="n">
        <v>48</v>
      </c>
      <c r="E19" t="n">
        <v>0.9455786714386503</v>
      </c>
    </row>
    <row r="20">
      <c r="B20" t="n">
        <v>1</v>
      </c>
      <c r="C20" t="n">
        <v>2</v>
      </c>
      <c r="D20" t="n">
        <v>49</v>
      </c>
      <c r="E20" t="n">
        <v>0.940596680660047</v>
      </c>
    </row>
    <row r="21">
      <c r="B21" t="n">
        <v>1</v>
      </c>
      <c r="C21" t="n">
        <v>3</v>
      </c>
      <c r="D21" t="n">
        <v>50</v>
      </c>
      <c r="E21" t="n">
        <v>0.9381129752005481</v>
      </c>
    </row>
    <row r="45">
      <c r="B45" t="n">
        <v>1</v>
      </c>
      <c r="C45" t="n">
        <v>0</v>
      </c>
      <c r="D45" t="n">
        <v>16</v>
      </c>
      <c r="E45" t="n">
        <v>1.032019666051183</v>
      </c>
    </row>
    <row r="46">
      <c r="B46" t="n">
        <v>1</v>
      </c>
      <c r="C46" t="n">
        <v>1</v>
      </c>
      <c r="D46" t="n">
        <v>17</v>
      </c>
      <c r="E46" t="n">
        <v>1.032019666051183</v>
      </c>
    </row>
    <row r="47">
      <c r="B47" t="n">
        <v>1</v>
      </c>
      <c r="C47" t="n">
        <v>2</v>
      </c>
      <c r="D47" t="n">
        <v>18</v>
      </c>
      <c r="E47" t="n">
        <v>1.032019666051183</v>
      </c>
    </row>
    <row r="48">
      <c r="B48" t="n">
        <v>1</v>
      </c>
      <c r="C48" t="n">
        <v>3</v>
      </c>
      <c r="D48" t="n">
        <v>19</v>
      </c>
      <c r="E48" t="n">
        <v>1.032019666051183</v>
      </c>
    </row>
    <row r="49">
      <c r="B49" t="n">
        <v>1</v>
      </c>
      <c r="C49" t="n">
        <v>4</v>
      </c>
      <c r="D49" t="n">
        <v>20</v>
      </c>
      <c r="E49" t="n">
        <v>1.032019666051183</v>
      </c>
    </row>
    <row r="50">
      <c r="B50" t="n">
        <v>1</v>
      </c>
      <c r="C50" t="n">
        <v>5</v>
      </c>
      <c r="D50" t="n">
        <v>21</v>
      </c>
      <c r="E50" t="n">
        <v>1.032019666051183</v>
      </c>
    </row>
    <row r="51">
      <c r="B51" t="n">
        <v>1</v>
      </c>
      <c r="C51" t="n">
        <v>6</v>
      </c>
      <c r="D51" t="n">
        <v>22</v>
      </c>
      <c r="E51" t="n">
        <v>1.032019666051183</v>
      </c>
    </row>
    <row r="52">
      <c r="B52" t="n">
        <v>1</v>
      </c>
      <c r="C52" t="n">
        <v>7</v>
      </c>
      <c r="D52" t="n">
        <v>23</v>
      </c>
      <c r="E52" t="n">
        <v>1.032019666051183</v>
      </c>
    </row>
    <row r="53">
      <c r="B53" t="n">
        <v>1</v>
      </c>
      <c r="C53" t="n">
        <v>8</v>
      </c>
      <c r="D53" t="n">
        <v>24</v>
      </c>
      <c r="E53" t="n">
        <v>1.032019666051183</v>
      </c>
    </row>
    <row r="54">
      <c r="B54" t="n">
        <v>1</v>
      </c>
      <c r="C54" t="n">
        <v>9</v>
      </c>
      <c r="D54" t="n">
        <v>25</v>
      </c>
      <c r="E54" t="n">
        <v>1.032019666051183</v>
      </c>
    </row>
    <row r="55">
      <c r="B55" t="n">
        <v>1</v>
      </c>
      <c r="C55" t="n">
        <v>10</v>
      </c>
      <c r="D55" t="n">
        <v>26</v>
      </c>
      <c r="E55" t="n">
        <v>1.032019666051183</v>
      </c>
    </row>
    <row r="56">
      <c r="B56" t="n">
        <v>1</v>
      </c>
      <c r="C56" t="n">
        <v>11</v>
      </c>
      <c r="D56" t="n">
        <v>27</v>
      </c>
      <c r="E56" t="n">
        <v>1.032019666051183</v>
      </c>
    </row>
    <row r="57">
      <c r="B57" t="n">
        <v>1</v>
      </c>
      <c r="C57" t="n">
        <v>12</v>
      </c>
      <c r="D57" t="n">
        <v>28</v>
      </c>
      <c r="E57" t="n">
        <v>1.032019666051183</v>
      </c>
    </row>
    <row r="58">
      <c r="B58" t="n">
        <v>1</v>
      </c>
      <c r="C58" t="n">
        <v>13</v>
      </c>
      <c r="D58" t="n">
        <v>29</v>
      </c>
      <c r="E58" t="n">
        <v>1.032019666051183</v>
      </c>
    </row>
    <row r="59">
      <c r="B59" t="n">
        <v>1</v>
      </c>
      <c r="C59" t="n">
        <v>14</v>
      </c>
      <c r="D59" t="n">
        <v>30</v>
      </c>
      <c r="E59" t="n">
        <v>1.032019666051183</v>
      </c>
    </row>
    <row r="60">
      <c r="B60" t="n">
        <v>1</v>
      </c>
      <c r="C60" t="n">
        <v>15</v>
      </c>
      <c r="D60" t="n">
        <v>31</v>
      </c>
      <c r="E60" t="n">
        <v>1.032019666051183</v>
      </c>
    </row>
    <row r="61">
      <c r="B61" t="n">
        <v>1</v>
      </c>
      <c r="C61" t="n">
        <v>16</v>
      </c>
      <c r="D61" t="n">
        <v>53</v>
      </c>
      <c r="E61" t="n">
        <v>1.050268327876383</v>
      </c>
    </row>
    <row r="62">
      <c r="B62" t="n">
        <v>1</v>
      </c>
      <c r="C62" t="n">
        <v>17</v>
      </c>
      <c r="D62" t="n">
        <v>54</v>
      </c>
      <c r="E62" t="n">
        <v>1.093453349385595</v>
      </c>
    </row>
    <row r="63">
      <c r="B63" t="n">
        <v>1</v>
      </c>
      <c r="C63" t="n">
        <v>18</v>
      </c>
      <c r="D63" t="n">
        <v>55</v>
      </c>
      <c r="E63" t="n">
        <v>1.050268327876383</v>
      </c>
    </row>
    <row r="64">
      <c r="B64" t="n">
        <v>1</v>
      </c>
      <c r="C64" t="n">
        <v>19</v>
      </c>
      <c r="D64" t="n">
        <v>56</v>
      </c>
      <c r="E64" t="n">
        <v>1.093453349385595</v>
      </c>
    </row>
    <row r="73">
      <c r="B73" t="n">
        <v>1</v>
      </c>
      <c r="C73" t="n">
        <v>0</v>
      </c>
      <c r="D73" t="n">
        <v>14</v>
      </c>
      <c r="E73" t="n">
        <v>101.2146533041845</v>
      </c>
    </row>
    <row r="74">
      <c r="B74" t="n">
        <v>1</v>
      </c>
      <c r="C74" t="n">
        <v>1</v>
      </c>
      <c r="D74" t="n">
        <v>19</v>
      </c>
      <c r="E74" t="n">
        <v>133.6049449222878</v>
      </c>
    </row>
    <row r="75">
      <c r="B75" t="n">
        <v>1</v>
      </c>
      <c r="C75" t="n">
        <v>2</v>
      </c>
      <c r="D75" t="n">
        <v>20</v>
      </c>
      <c r="E75" t="n">
        <v>121.037741917798</v>
      </c>
    </row>
    <row r="76">
      <c r="B76" t="n">
        <v>1</v>
      </c>
      <c r="C76" t="n">
        <v>3</v>
      </c>
      <c r="D76" t="n">
        <v>21</v>
      </c>
      <c r="E76" t="n">
        <v>128.2665065459318</v>
      </c>
    </row>
    <row r="77">
      <c r="B77" t="n">
        <v>1</v>
      </c>
      <c r="C77" t="n">
        <v>4</v>
      </c>
      <c r="D77" t="n">
        <v>23</v>
      </c>
      <c r="E77" t="n">
        <v>128.2665065459318</v>
      </c>
    </row>
    <row r="82">
      <c r="B82" t="n">
        <v>1</v>
      </c>
      <c r="C82" t="n">
        <v>0</v>
      </c>
      <c r="D82" t="n">
        <v>1</v>
      </c>
      <c r="E82" t="n">
        <v>117.2309826173987</v>
      </c>
    </row>
    <row r="87">
      <c r="B87" t="n">
        <v>1</v>
      </c>
      <c r="C87" t="n">
        <v>0</v>
      </c>
      <c r="D87" t="inlineStr">
        <is>
          <t>---</t>
        </is>
      </c>
      <c r="E87" t="inlineStr">
        <is>
          <t>---</t>
        </is>
      </c>
    </row>
  </sheetData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79" zoomScaleNormal="100" workbookViewId="0">
      <selection activeCell="AA55" sqref="AA55"/>
    </sheetView>
  </sheetViews>
  <sheetFormatPr baseColWidth="8" defaultRowHeight="14.4"/>
  <cols>
    <col width="1.5546875" customWidth="1" style="14" min="1" max="1"/>
    <col width="12" customWidth="1" style="14" min="2" max="2"/>
  </cols>
  <sheetData>
    <row r="1" ht="6.75" customHeight="1" s="14"/>
  </sheetData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I53"/>
  <sheetViews>
    <sheetView workbookViewId="0">
      <selection activeCell="H9" sqref="H9"/>
    </sheetView>
  </sheetViews>
  <sheetFormatPr baseColWidth="8" defaultRowHeight="14.4"/>
  <cols>
    <col width="10" bestFit="1" customWidth="1" style="14" min="3" max="3"/>
    <col width="11.44140625" customWidth="1" style="14" min="4" max="4"/>
    <col width="10.33203125" customWidth="1" style="14" min="5" max="5"/>
    <col width="14" bestFit="1" customWidth="1" style="14" min="6" max="6"/>
    <col width="14" customWidth="1" style="14" min="7" max="7"/>
    <col width="17.33203125" bestFit="1" customWidth="1" style="14" min="8" max="8"/>
    <col width="15.6640625" customWidth="1" style="14" min="9" max="9"/>
  </cols>
  <sheetData>
    <row r="2" ht="21" customHeight="1" s="14">
      <c r="B2" s="13" t="inlineStr">
        <is>
          <t>Demand</t>
        </is>
      </c>
    </row>
    <row r="3" ht="30.75" customHeight="1" s="14" thickBot="1">
      <c r="B3" s="4" t="inlineStr">
        <is>
          <t>Step</t>
        </is>
      </c>
      <c r="C3" s="1" t="inlineStr">
        <is>
          <t>Zone</t>
        </is>
      </c>
      <c r="D3" s="1" t="inlineStr">
        <is>
          <t>Load Index</t>
        </is>
      </c>
      <c r="E3" s="1" t="inlineStr">
        <is>
          <t>Bus Index</t>
        </is>
      </c>
      <c r="F3" s="1" t="inlineStr">
        <is>
          <t>In service</t>
        </is>
      </c>
      <c r="G3" s="1" t="inlineStr">
        <is>
          <t>Voltage Level [kV]</t>
        </is>
      </c>
      <c r="H3" s="1" t="inlineStr">
        <is>
          <t>Active Power [MW]</t>
        </is>
      </c>
      <c r="I3" s="1" t="inlineStr">
        <is>
          <t>Reactive Power [MVAr]</t>
        </is>
      </c>
    </row>
    <row r="4">
      <c r="B4" s="5" t="n">
        <v>0</v>
      </c>
      <c r="C4" t="inlineStr">
        <is>
          <t>---</t>
        </is>
      </c>
      <c r="D4" t="n">
        <v>0</v>
      </c>
      <c r="E4" t="n">
        <v>20</v>
      </c>
      <c r="F4" t="n">
        <v>1</v>
      </c>
      <c r="G4" t="n">
        <v>110</v>
      </c>
      <c r="H4" t="n">
        <v>38</v>
      </c>
      <c r="I4" t="n">
        <v>6</v>
      </c>
    </row>
    <row r="5">
      <c r="B5" s="6" t="n">
        <v>0</v>
      </c>
      <c r="C5" t="inlineStr">
        <is>
          <t>---</t>
        </is>
      </c>
      <c r="D5" t="n">
        <v>1</v>
      </c>
      <c r="E5" t="n">
        <v>32</v>
      </c>
      <c r="F5" t="n">
        <v>1</v>
      </c>
      <c r="G5" t="n">
        <v>110</v>
      </c>
      <c r="H5" t="n">
        <v>38</v>
      </c>
      <c r="I5" t="n">
        <v>6</v>
      </c>
    </row>
    <row r="6">
      <c r="B6" t="n">
        <v>0</v>
      </c>
      <c r="C6" t="inlineStr">
        <is>
          <t>---</t>
        </is>
      </c>
      <c r="D6" t="n">
        <v>2</v>
      </c>
      <c r="E6" t="n">
        <v>33</v>
      </c>
      <c r="F6" t="n">
        <v>1</v>
      </c>
      <c r="G6" t="n">
        <v>110</v>
      </c>
      <c r="H6" t="n">
        <v>38</v>
      </c>
      <c r="I6" t="n">
        <v>6</v>
      </c>
    </row>
    <row r="7">
      <c r="B7" t="n">
        <v>0</v>
      </c>
      <c r="C7" t="inlineStr">
        <is>
          <t>---</t>
        </is>
      </c>
      <c r="D7" t="n">
        <v>3</v>
      </c>
      <c r="E7" t="n">
        <v>34</v>
      </c>
      <c r="F7" t="n">
        <v>1</v>
      </c>
      <c r="G7" t="n">
        <v>110</v>
      </c>
      <c r="H7" t="n">
        <v>38</v>
      </c>
      <c r="I7" t="n">
        <v>6</v>
      </c>
    </row>
    <row r="8">
      <c r="B8" t="n">
        <v>0</v>
      </c>
      <c r="C8" t="inlineStr">
        <is>
          <t>---</t>
        </is>
      </c>
      <c r="D8" t="n">
        <v>4</v>
      </c>
      <c r="E8" t="n">
        <v>35</v>
      </c>
      <c r="F8" t="n">
        <v>1</v>
      </c>
      <c r="G8" t="n">
        <v>110</v>
      </c>
      <c r="H8" t="n">
        <v>38</v>
      </c>
      <c r="I8" t="n">
        <v>6</v>
      </c>
    </row>
    <row r="9">
      <c r="B9" t="n">
        <v>0</v>
      </c>
      <c r="C9" t="inlineStr">
        <is>
          <t>---</t>
        </is>
      </c>
      <c r="D9" t="n">
        <v>5</v>
      </c>
      <c r="E9" t="n">
        <v>37</v>
      </c>
      <c r="F9" t="n">
        <v>1</v>
      </c>
      <c r="G9" t="n">
        <v>10</v>
      </c>
      <c r="H9" t="n">
        <v>6</v>
      </c>
      <c r="I9" t="n">
        <v>2</v>
      </c>
    </row>
    <row r="10">
      <c r="B10" t="n">
        <v>0</v>
      </c>
      <c r="C10" t="inlineStr">
        <is>
          <t>---</t>
        </is>
      </c>
      <c r="D10" t="n">
        <v>6</v>
      </c>
      <c r="E10" t="n">
        <v>36</v>
      </c>
      <c r="F10" t="n">
        <v>1</v>
      </c>
      <c r="G10" t="n">
        <v>20</v>
      </c>
      <c r="H10" t="n">
        <v>10.23806844023665</v>
      </c>
      <c r="I10" t="n">
        <v>4</v>
      </c>
    </row>
    <row r="11">
      <c r="B11" t="n">
        <v>0</v>
      </c>
      <c r="C11" t="inlineStr">
        <is>
          <t>---</t>
        </is>
      </c>
      <c r="D11" t="n">
        <v>7</v>
      </c>
      <c r="E11" t="n">
        <v>38</v>
      </c>
      <c r="F11" t="n">
        <v>1</v>
      </c>
      <c r="G11" t="n">
        <v>10</v>
      </c>
      <c r="H11" t="n">
        <v>0.4</v>
      </c>
      <c r="I11" t="n">
        <v>0.1</v>
      </c>
    </row>
    <row r="12">
      <c r="B12" t="n">
        <v>0</v>
      </c>
      <c r="C12" t="inlineStr">
        <is>
          <t>---</t>
        </is>
      </c>
      <c r="D12" t="n">
        <v>8</v>
      </c>
      <c r="E12" t="n">
        <v>39</v>
      </c>
      <c r="F12" t="n">
        <v>1</v>
      </c>
      <c r="G12" t="n">
        <v>10</v>
      </c>
      <c r="H12" t="n">
        <v>0.4</v>
      </c>
      <c r="I12" t="n">
        <v>0.06</v>
      </c>
    </row>
    <row r="13">
      <c r="B13" t="n">
        <v>0</v>
      </c>
      <c r="C13" t="inlineStr">
        <is>
          <t>---</t>
        </is>
      </c>
      <c r="D13" t="n">
        <v>9</v>
      </c>
      <c r="E13" t="n">
        <v>40</v>
      </c>
      <c r="F13" t="n">
        <v>1</v>
      </c>
      <c r="G13" t="n">
        <v>10</v>
      </c>
      <c r="H13" t="n">
        <v>0.4</v>
      </c>
      <c r="I13" t="n">
        <v>0.06</v>
      </c>
    </row>
    <row r="14">
      <c r="B14" t="n">
        <v>0</v>
      </c>
      <c r="C14" t="inlineStr">
        <is>
          <t>---</t>
        </is>
      </c>
      <c r="D14" t="n">
        <v>10</v>
      </c>
      <c r="E14" t="n">
        <v>42</v>
      </c>
      <c r="F14" t="n">
        <v>1</v>
      </c>
      <c r="G14" t="n">
        <v>10</v>
      </c>
      <c r="H14" t="n">
        <v>0.4</v>
      </c>
      <c r="I14" t="n">
        <v>0.06</v>
      </c>
    </row>
    <row r="15">
      <c r="B15" t="n">
        <v>0</v>
      </c>
      <c r="C15" t="inlineStr">
        <is>
          <t>---</t>
        </is>
      </c>
      <c r="D15" t="n">
        <v>11</v>
      </c>
      <c r="E15" t="n">
        <v>43</v>
      </c>
      <c r="F15" t="n">
        <v>1</v>
      </c>
      <c r="G15" t="n">
        <v>10</v>
      </c>
      <c r="H15" t="n">
        <v>0.4</v>
      </c>
      <c r="I15" t="n">
        <v>0.06</v>
      </c>
    </row>
    <row r="16">
      <c r="B16" t="n">
        <v>0</v>
      </c>
      <c r="C16" t="inlineStr">
        <is>
          <t>---</t>
        </is>
      </c>
      <c r="D16" t="n">
        <v>12</v>
      </c>
      <c r="E16" t="n">
        <v>44</v>
      </c>
      <c r="F16" t="n">
        <v>1</v>
      </c>
      <c r="G16" t="n">
        <v>10</v>
      </c>
      <c r="H16" t="n">
        <v>0.4</v>
      </c>
      <c r="I16" t="n">
        <v>0.06</v>
      </c>
    </row>
    <row r="17">
      <c r="B17" t="n">
        <v>0</v>
      </c>
      <c r="C17" t="inlineStr">
        <is>
          <t>---</t>
        </is>
      </c>
      <c r="D17" t="n">
        <v>13</v>
      </c>
      <c r="E17" t="n">
        <v>45</v>
      </c>
      <c r="F17" t="n">
        <v>1</v>
      </c>
      <c r="G17" t="n">
        <v>0.4</v>
      </c>
      <c r="H17" t="n">
        <v>0.1</v>
      </c>
      <c r="I17" t="n">
        <v>0.1</v>
      </c>
    </row>
    <row r="18">
      <c r="B18" t="n">
        <v>0</v>
      </c>
      <c r="C18" t="inlineStr">
        <is>
          <t>---</t>
        </is>
      </c>
      <c r="D18" t="n">
        <v>14</v>
      </c>
      <c r="E18" t="n">
        <v>46</v>
      </c>
      <c r="F18" t="n">
        <v>1</v>
      </c>
      <c r="G18" t="n">
        <v>0.4</v>
      </c>
      <c r="H18" t="n">
        <v>0.01</v>
      </c>
      <c r="I18" t="n">
        <v>0.03</v>
      </c>
    </row>
    <row r="19">
      <c r="B19" t="n">
        <v>0</v>
      </c>
      <c r="C19" t="inlineStr">
        <is>
          <t>---</t>
        </is>
      </c>
      <c r="D19" t="n">
        <v>15</v>
      </c>
      <c r="E19" t="n">
        <v>47</v>
      </c>
      <c r="F19" t="n">
        <v>1</v>
      </c>
      <c r="G19" t="n">
        <v>0.4</v>
      </c>
      <c r="H19" t="n">
        <v>0.01</v>
      </c>
      <c r="I19" t="n">
        <v>0.03</v>
      </c>
    </row>
    <row r="20">
      <c r="B20" t="n">
        <v>0</v>
      </c>
      <c r="C20" t="inlineStr">
        <is>
          <t>---</t>
        </is>
      </c>
      <c r="D20" t="n">
        <v>16</v>
      </c>
      <c r="E20" t="n">
        <v>48</v>
      </c>
      <c r="F20" t="n">
        <v>1</v>
      </c>
      <c r="G20" t="n">
        <v>0.4</v>
      </c>
      <c r="H20" t="n">
        <v>0.01</v>
      </c>
      <c r="I20" t="n">
        <v>0.03</v>
      </c>
    </row>
    <row r="21">
      <c r="B21" t="n">
        <v>0</v>
      </c>
      <c r="C21" t="inlineStr">
        <is>
          <t>---</t>
        </is>
      </c>
      <c r="D21" t="n">
        <v>17</v>
      </c>
      <c r="E21" t="n">
        <v>49</v>
      </c>
      <c r="F21" t="n">
        <v>1</v>
      </c>
      <c r="G21" t="n">
        <v>0.4</v>
      </c>
      <c r="H21" t="n">
        <v>0.01</v>
      </c>
      <c r="I21" t="n">
        <v>0.03</v>
      </c>
    </row>
    <row r="22">
      <c r="B22" t="n">
        <v>0</v>
      </c>
      <c r="C22" t="inlineStr">
        <is>
          <t>---</t>
        </is>
      </c>
      <c r="D22" t="n">
        <v>18</v>
      </c>
      <c r="E22" t="n">
        <v>50</v>
      </c>
      <c r="F22" t="n">
        <v>1</v>
      </c>
      <c r="G22" t="n">
        <v>0.4</v>
      </c>
      <c r="H22" t="n">
        <v>0.01</v>
      </c>
      <c r="I22" t="n">
        <v>0.03</v>
      </c>
    </row>
    <row r="23">
      <c r="B23" t="n">
        <v>0</v>
      </c>
      <c r="C23" t="inlineStr">
        <is>
          <t>---</t>
        </is>
      </c>
      <c r="D23" t="n">
        <v>19</v>
      </c>
      <c r="E23" t="n">
        <v>51</v>
      </c>
      <c r="F23" t="n">
        <v>1</v>
      </c>
      <c r="G23" t="n">
        <v>0.4</v>
      </c>
      <c r="H23" t="n">
        <v>0.01</v>
      </c>
      <c r="I23" t="n">
        <v>0.03</v>
      </c>
    </row>
    <row r="24">
      <c r="B24" t="n">
        <v>0</v>
      </c>
      <c r="C24" t="inlineStr">
        <is>
          <t>---</t>
        </is>
      </c>
      <c r="D24" t="n">
        <v>20</v>
      </c>
      <c r="E24" t="n">
        <v>52</v>
      </c>
      <c r="F24" t="n">
        <v>1</v>
      </c>
      <c r="G24" t="n">
        <v>0.4</v>
      </c>
      <c r="H24" t="n">
        <v>0.01</v>
      </c>
      <c r="I24" t="n">
        <v>0.03</v>
      </c>
    </row>
    <row r="25">
      <c r="B25" t="n">
        <v>0</v>
      </c>
      <c r="C25" t="inlineStr">
        <is>
          <t>---</t>
        </is>
      </c>
      <c r="D25" t="n">
        <v>21</v>
      </c>
      <c r="E25" t="n">
        <v>53</v>
      </c>
      <c r="F25" t="n">
        <v>1</v>
      </c>
      <c r="G25" t="n">
        <v>0.4</v>
      </c>
      <c r="H25" t="n">
        <v>0.01</v>
      </c>
      <c r="I25" t="n">
        <v>0.03</v>
      </c>
    </row>
    <row r="26">
      <c r="B26" t="n">
        <v>0</v>
      </c>
      <c r="C26" t="inlineStr">
        <is>
          <t>---</t>
        </is>
      </c>
      <c r="D26" t="n">
        <v>22</v>
      </c>
      <c r="E26" t="n">
        <v>54</v>
      </c>
      <c r="F26" t="n">
        <v>1</v>
      </c>
      <c r="G26" t="n">
        <v>0.4</v>
      </c>
      <c r="H26" t="n">
        <v>0.01</v>
      </c>
      <c r="I26" t="n">
        <v>0.03</v>
      </c>
    </row>
    <row r="27">
      <c r="B27" t="n">
        <v>0</v>
      </c>
      <c r="C27" t="inlineStr">
        <is>
          <t>---</t>
        </is>
      </c>
      <c r="D27" t="n">
        <v>23</v>
      </c>
      <c r="E27" t="n">
        <v>55</v>
      </c>
      <c r="F27" t="n">
        <v>1</v>
      </c>
      <c r="G27" t="n">
        <v>0.4</v>
      </c>
      <c r="H27" t="n">
        <v>0.01</v>
      </c>
      <c r="I27" t="n">
        <v>0.03</v>
      </c>
    </row>
    <row r="28">
      <c r="B28" t="n">
        <v>0</v>
      </c>
      <c r="C28" t="inlineStr">
        <is>
          <t>---</t>
        </is>
      </c>
      <c r="D28" t="n">
        <v>24</v>
      </c>
      <c r="E28" t="n">
        <v>56</v>
      </c>
      <c r="F28" t="n">
        <v>1</v>
      </c>
      <c r="G28" t="n">
        <v>0.4</v>
      </c>
      <c r="H28" t="n">
        <v>0.01</v>
      </c>
      <c r="I28" t="n">
        <v>0.03</v>
      </c>
    </row>
    <row r="29">
      <c r="B29" t="n">
        <v>1</v>
      </c>
      <c r="C29" t="inlineStr">
        <is>
          <t>---</t>
        </is>
      </c>
      <c r="D29" t="n">
        <v>0</v>
      </c>
      <c r="E29" t="n">
        <v>20</v>
      </c>
      <c r="F29" t="n">
        <v>1</v>
      </c>
      <c r="G29" t="n">
        <v>110</v>
      </c>
      <c r="H29" t="n">
        <v>38</v>
      </c>
      <c r="I29" t="n">
        <v>6</v>
      </c>
    </row>
    <row r="30">
      <c r="B30" t="n">
        <v>1</v>
      </c>
      <c r="C30" t="inlineStr">
        <is>
          <t>---</t>
        </is>
      </c>
      <c r="D30" t="n">
        <v>1</v>
      </c>
      <c r="E30" t="n">
        <v>32</v>
      </c>
      <c r="F30" t="n">
        <v>1</v>
      </c>
      <c r="G30" t="n">
        <v>110</v>
      </c>
      <c r="H30" t="n">
        <v>38</v>
      </c>
      <c r="I30" t="n">
        <v>6</v>
      </c>
    </row>
    <row r="31">
      <c r="B31" t="n">
        <v>1</v>
      </c>
      <c r="C31" t="inlineStr">
        <is>
          <t>---</t>
        </is>
      </c>
      <c r="D31" t="n">
        <v>2</v>
      </c>
      <c r="E31" t="n">
        <v>33</v>
      </c>
      <c r="F31" t="n">
        <v>1</v>
      </c>
      <c r="G31" t="n">
        <v>110</v>
      </c>
      <c r="H31" t="n">
        <v>38</v>
      </c>
      <c r="I31" t="n">
        <v>6</v>
      </c>
    </row>
    <row r="32">
      <c r="B32" t="n">
        <v>1</v>
      </c>
      <c r="C32" t="inlineStr">
        <is>
          <t>---</t>
        </is>
      </c>
      <c r="D32" t="n">
        <v>3</v>
      </c>
      <c r="E32" t="n">
        <v>34</v>
      </c>
      <c r="F32" t="n">
        <v>1</v>
      </c>
      <c r="G32" t="n">
        <v>110</v>
      </c>
      <c r="H32" t="n">
        <v>38</v>
      </c>
      <c r="I32" t="n">
        <v>6</v>
      </c>
    </row>
    <row r="33">
      <c r="B33" t="n">
        <v>1</v>
      </c>
      <c r="C33" t="inlineStr">
        <is>
          <t>---</t>
        </is>
      </c>
      <c r="D33" t="n">
        <v>4</v>
      </c>
      <c r="E33" t="n">
        <v>35</v>
      </c>
      <c r="F33" t="n">
        <v>1</v>
      </c>
      <c r="G33" t="n">
        <v>110</v>
      </c>
      <c r="H33" t="n">
        <v>38</v>
      </c>
      <c r="I33" t="n">
        <v>6</v>
      </c>
    </row>
    <row r="34">
      <c r="B34" t="n">
        <v>1</v>
      </c>
      <c r="C34" t="inlineStr">
        <is>
          <t>---</t>
        </is>
      </c>
      <c r="D34" t="n">
        <v>5</v>
      </c>
      <c r="E34" t="n">
        <v>37</v>
      </c>
      <c r="F34" t="n">
        <v>1</v>
      </c>
      <c r="G34" t="n">
        <v>10</v>
      </c>
      <c r="H34" t="n">
        <v>6</v>
      </c>
      <c r="I34" t="n">
        <v>2</v>
      </c>
    </row>
    <row r="35">
      <c r="B35" t="n">
        <v>1</v>
      </c>
      <c r="C35" t="inlineStr">
        <is>
          <t>---</t>
        </is>
      </c>
      <c r="D35" t="n">
        <v>6</v>
      </c>
      <c r="E35" t="n">
        <v>36</v>
      </c>
      <c r="F35" t="n">
        <v>1</v>
      </c>
      <c r="G35" t="n">
        <v>20</v>
      </c>
      <c r="H35" t="n">
        <v>10.23806844023665</v>
      </c>
      <c r="I35" t="n">
        <v>4</v>
      </c>
    </row>
    <row r="36">
      <c r="B36" t="n">
        <v>1</v>
      </c>
      <c r="C36" t="inlineStr">
        <is>
          <t>---</t>
        </is>
      </c>
      <c r="D36" t="n">
        <v>7</v>
      </c>
      <c r="E36" t="n">
        <v>38</v>
      </c>
      <c r="F36" t="n">
        <v>1</v>
      </c>
      <c r="G36" t="n">
        <v>10</v>
      </c>
      <c r="H36" t="n">
        <v>0.4</v>
      </c>
      <c r="I36" t="n">
        <v>0.1</v>
      </c>
    </row>
    <row r="37">
      <c r="B37" t="n">
        <v>1</v>
      </c>
      <c r="C37" t="inlineStr">
        <is>
          <t>---</t>
        </is>
      </c>
      <c r="D37" t="n">
        <v>8</v>
      </c>
      <c r="E37" t="n">
        <v>39</v>
      </c>
      <c r="F37" t="n">
        <v>1</v>
      </c>
      <c r="G37" t="n">
        <v>10</v>
      </c>
      <c r="H37" t="n">
        <v>0.4</v>
      </c>
      <c r="I37" t="n">
        <v>0.06</v>
      </c>
    </row>
    <row r="38">
      <c r="B38" t="n">
        <v>1</v>
      </c>
      <c r="C38" t="inlineStr">
        <is>
          <t>---</t>
        </is>
      </c>
      <c r="D38" t="n">
        <v>9</v>
      </c>
      <c r="E38" t="n">
        <v>40</v>
      </c>
      <c r="F38" t="n">
        <v>1</v>
      </c>
      <c r="G38" t="n">
        <v>10</v>
      </c>
      <c r="H38" t="n">
        <v>0.4</v>
      </c>
      <c r="I38" t="n">
        <v>0.06</v>
      </c>
    </row>
    <row r="39">
      <c r="B39" t="n">
        <v>1</v>
      </c>
      <c r="C39" t="inlineStr">
        <is>
          <t>---</t>
        </is>
      </c>
      <c r="D39" t="n">
        <v>10</v>
      </c>
      <c r="E39" t="n">
        <v>42</v>
      </c>
      <c r="F39" t="n">
        <v>1</v>
      </c>
      <c r="G39" t="n">
        <v>10</v>
      </c>
      <c r="H39" t="n">
        <v>0.4</v>
      </c>
      <c r="I39" t="n">
        <v>0.06</v>
      </c>
    </row>
    <row r="40">
      <c r="B40" t="n">
        <v>1</v>
      </c>
      <c r="C40" t="inlineStr">
        <is>
          <t>---</t>
        </is>
      </c>
      <c r="D40" t="n">
        <v>11</v>
      </c>
      <c r="E40" t="n">
        <v>43</v>
      </c>
      <c r="F40" t="n">
        <v>1</v>
      </c>
      <c r="G40" t="n">
        <v>10</v>
      </c>
      <c r="H40" t="n">
        <v>0.4</v>
      </c>
      <c r="I40" t="n">
        <v>0.06</v>
      </c>
    </row>
    <row r="41">
      <c r="B41" t="n">
        <v>1</v>
      </c>
      <c r="C41" t="inlineStr">
        <is>
          <t>---</t>
        </is>
      </c>
      <c r="D41" t="n">
        <v>12</v>
      </c>
      <c r="E41" t="n">
        <v>44</v>
      </c>
      <c r="F41" t="n">
        <v>1</v>
      </c>
      <c r="G41" t="n">
        <v>10</v>
      </c>
      <c r="H41" t="n">
        <v>0.4</v>
      </c>
      <c r="I41" t="n">
        <v>0.06</v>
      </c>
    </row>
    <row r="42">
      <c r="B42" t="n">
        <v>1</v>
      </c>
      <c r="C42" t="inlineStr">
        <is>
          <t>---</t>
        </is>
      </c>
      <c r="D42" t="n">
        <v>13</v>
      </c>
      <c r="E42" t="n">
        <v>45</v>
      </c>
      <c r="F42" t="n">
        <v>1</v>
      </c>
      <c r="G42" t="n">
        <v>0.4</v>
      </c>
      <c r="H42" t="n">
        <v>0.1</v>
      </c>
      <c r="I42" t="n">
        <v>0.1</v>
      </c>
    </row>
    <row r="43">
      <c r="B43" t="n">
        <v>1</v>
      </c>
      <c r="C43" t="inlineStr">
        <is>
          <t>---</t>
        </is>
      </c>
      <c r="D43" t="n">
        <v>14</v>
      </c>
      <c r="E43" t="n">
        <v>46</v>
      </c>
      <c r="F43" t="n">
        <v>1</v>
      </c>
      <c r="G43" t="n">
        <v>0.4</v>
      </c>
      <c r="H43" t="n">
        <v>0.01</v>
      </c>
      <c r="I43" t="n">
        <v>0.03</v>
      </c>
    </row>
    <row r="44">
      <c r="B44" t="n">
        <v>1</v>
      </c>
      <c r="C44" t="inlineStr">
        <is>
          <t>---</t>
        </is>
      </c>
      <c r="D44" t="n">
        <v>15</v>
      </c>
      <c r="E44" t="n">
        <v>47</v>
      </c>
      <c r="F44" t="n">
        <v>1</v>
      </c>
      <c r="G44" t="n">
        <v>0.4</v>
      </c>
      <c r="H44" t="n">
        <v>0.01</v>
      </c>
      <c r="I44" t="n">
        <v>0.03</v>
      </c>
    </row>
    <row r="45">
      <c r="B45" t="n">
        <v>1</v>
      </c>
      <c r="C45" t="inlineStr">
        <is>
          <t>---</t>
        </is>
      </c>
      <c r="D45" t="n">
        <v>16</v>
      </c>
      <c r="E45" t="n">
        <v>48</v>
      </c>
      <c r="F45" t="n">
        <v>1</v>
      </c>
      <c r="G45" t="n">
        <v>0.4</v>
      </c>
      <c r="H45" t="n">
        <v>0.01</v>
      </c>
      <c r="I45" t="n">
        <v>0.03</v>
      </c>
    </row>
    <row r="46">
      <c r="B46" t="n">
        <v>1</v>
      </c>
      <c r="C46" t="inlineStr">
        <is>
          <t>---</t>
        </is>
      </c>
      <c r="D46" t="n">
        <v>17</v>
      </c>
      <c r="E46" t="n">
        <v>49</v>
      </c>
      <c r="F46" t="n">
        <v>1</v>
      </c>
      <c r="G46" t="n">
        <v>0.4</v>
      </c>
      <c r="H46" t="n">
        <v>0.01</v>
      </c>
      <c r="I46" t="n">
        <v>0.03</v>
      </c>
    </row>
    <row r="47">
      <c r="B47" t="n">
        <v>1</v>
      </c>
      <c r="C47" t="inlineStr">
        <is>
          <t>---</t>
        </is>
      </c>
      <c r="D47" t="n">
        <v>18</v>
      </c>
      <c r="E47" t="n">
        <v>50</v>
      </c>
      <c r="F47" t="n">
        <v>1</v>
      </c>
      <c r="G47" t="n">
        <v>0.4</v>
      </c>
      <c r="H47" t="n">
        <v>0.01</v>
      </c>
      <c r="I47" t="n">
        <v>0.03</v>
      </c>
    </row>
    <row r="48">
      <c r="B48" t="n">
        <v>1</v>
      </c>
      <c r="C48" t="inlineStr">
        <is>
          <t>---</t>
        </is>
      </c>
      <c r="D48" t="n">
        <v>19</v>
      </c>
      <c r="E48" t="n">
        <v>51</v>
      </c>
      <c r="F48" t="n">
        <v>1</v>
      </c>
      <c r="G48" t="n">
        <v>0.4</v>
      </c>
      <c r="H48" t="n">
        <v>0.01</v>
      </c>
      <c r="I48" t="n">
        <v>0.03</v>
      </c>
    </row>
    <row r="49">
      <c r="B49" t="n">
        <v>1</v>
      </c>
      <c r="C49" t="inlineStr">
        <is>
          <t>---</t>
        </is>
      </c>
      <c r="D49" t="n">
        <v>20</v>
      </c>
      <c r="E49" t="n">
        <v>52</v>
      </c>
      <c r="F49" t="n">
        <v>1</v>
      </c>
      <c r="G49" t="n">
        <v>0.4</v>
      </c>
      <c r="H49" t="n">
        <v>0.01</v>
      </c>
      <c r="I49" t="n">
        <v>0.03</v>
      </c>
    </row>
    <row r="50">
      <c r="B50" t="n">
        <v>1</v>
      </c>
      <c r="C50" t="inlineStr">
        <is>
          <t>---</t>
        </is>
      </c>
      <c r="D50" t="n">
        <v>21</v>
      </c>
      <c r="E50" t="n">
        <v>53</v>
      </c>
      <c r="F50" t="n">
        <v>1</v>
      </c>
      <c r="G50" t="n">
        <v>0.4</v>
      </c>
      <c r="H50" t="n">
        <v>0.01</v>
      </c>
      <c r="I50" t="n">
        <v>0.03</v>
      </c>
    </row>
    <row r="51">
      <c r="B51" t="n">
        <v>1</v>
      </c>
      <c r="C51" t="inlineStr">
        <is>
          <t>---</t>
        </is>
      </c>
      <c r="D51" t="n">
        <v>22</v>
      </c>
      <c r="E51" t="n">
        <v>54</v>
      </c>
      <c r="F51" t="n">
        <v>1</v>
      </c>
      <c r="G51" t="n">
        <v>0.4</v>
      </c>
      <c r="H51" t="n">
        <v>0.01</v>
      </c>
      <c r="I51" t="n">
        <v>0.03</v>
      </c>
    </row>
    <row r="52">
      <c r="B52" t="n">
        <v>1</v>
      </c>
      <c r="C52" t="inlineStr">
        <is>
          <t>---</t>
        </is>
      </c>
      <c r="D52" t="n">
        <v>23</v>
      </c>
      <c r="E52" t="n">
        <v>55</v>
      </c>
      <c r="F52" t="n">
        <v>1</v>
      </c>
      <c r="G52" t="n">
        <v>0.4</v>
      </c>
      <c r="H52" t="n">
        <v>0.01</v>
      </c>
      <c r="I52" t="n">
        <v>0.03</v>
      </c>
    </row>
    <row r="53">
      <c r="B53" t="n">
        <v>1</v>
      </c>
      <c r="C53" t="inlineStr">
        <is>
          <t>---</t>
        </is>
      </c>
      <c r="D53" t="n">
        <v>24</v>
      </c>
      <c r="E53" t="n">
        <v>56</v>
      </c>
      <c r="F53" t="n">
        <v>1</v>
      </c>
      <c r="G53" t="n">
        <v>0.4</v>
      </c>
      <c r="H53" t="n">
        <v>0.01</v>
      </c>
      <c r="I53" t="n">
        <v>0.03</v>
      </c>
    </row>
  </sheetData>
  <mergeCells count="1">
    <mergeCell ref="B2:I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Q36"/>
  <sheetViews>
    <sheetView topLeftCell="A2" workbookViewId="0">
      <selection activeCell="L12" sqref="L12"/>
    </sheetView>
  </sheetViews>
  <sheetFormatPr baseColWidth="8" defaultRowHeight="14.4"/>
  <cols>
    <col width="10.5546875" bestFit="1" customWidth="1" style="14" min="3" max="3"/>
    <col width="10" bestFit="1" customWidth="1" style="14" min="4" max="4"/>
    <col width="10" customWidth="1" style="14" min="5" max="6"/>
    <col width="11.44140625" customWidth="1" style="14" min="7" max="7"/>
    <col width="10.88671875" bestFit="1" customWidth="1" style="14" min="8" max="8"/>
    <col width="12.44140625" bestFit="1" customWidth="1" style="14" min="9" max="9"/>
    <col width="12" bestFit="1" customWidth="1" style="14" min="10" max="10"/>
    <col width="12.44140625" bestFit="1" customWidth="1" style="14" min="11" max="11"/>
    <col width="15.33203125" customWidth="1" style="14" min="12" max="12"/>
    <col width="14.109375" customWidth="1" style="14" min="13" max="13"/>
    <col width="14.88671875" customWidth="1" style="14" min="14" max="15"/>
    <col width="13.33203125" bestFit="1" customWidth="1" style="14" min="16" max="16"/>
    <col width="13.109375" bestFit="1" customWidth="1" style="14" min="17" max="17"/>
  </cols>
  <sheetData>
    <row r="2" ht="21" customHeight="1" s="14">
      <c r="B2" s="13" t="inlineStr">
        <is>
          <t>Generators</t>
        </is>
      </c>
    </row>
    <row r="3" ht="45.75" customHeight="1" s="14" thickBot="1">
      <c r="B3" s="4" t="inlineStr">
        <is>
          <t>Step</t>
        </is>
      </c>
      <c r="C3" s="1" t="inlineStr">
        <is>
          <t>Zone</t>
        </is>
      </c>
      <c r="D3" s="1" t="inlineStr">
        <is>
          <t>Bus Index</t>
        </is>
      </c>
      <c r="E3" s="1" t="inlineStr">
        <is>
          <t>Generator Index</t>
        </is>
      </c>
      <c r="F3" s="1" t="inlineStr">
        <is>
          <t>Fuel</t>
        </is>
      </c>
      <c r="G3" s="1" t="inlineStr">
        <is>
          <t>Technology</t>
        </is>
      </c>
      <c r="H3" s="1" t="inlineStr">
        <is>
          <t>Voltage Level [kV]</t>
        </is>
      </c>
      <c r="I3" s="1" t="inlineStr">
        <is>
          <t>Name</t>
        </is>
      </c>
      <c r="J3" s="1" t="inlineStr">
        <is>
          <t>In Service</t>
        </is>
      </c>
      <c r="K3" s="1" t="inlineStr">
        <is>
          <t>Voltage [p.u]</t>
        </is>
      </c>
      <c r="L3" s="1" t="inlineStr">
        <is>
          <t>Maximum Active Power [MW]</t>
        </is>
      </c>
      <c r="M3" s="1" t="inlineStr">
        <is>
          <t>Maximum Reactive Power [MVAr]</t>
        </is>
      </c>
      <c r="N3" s="1" t="inlineStr">
        <is>
          <t>Minimum Active Power [MW]</t>
        </is>
      </c>
      <c r="O3" s="1" t="inlineStr">
        <is>
          <t>Minimum Reactive Power [MVAr]</t>
        </is>
      </c>
      <c r="P3" s="1" t="inlineStr">
        <is>
          <t xml:space="preserve"> Active Power [MW]</t>
        </is>
      </c>
      <c r="Q3" s="1" t="inlineStr">
        <is>
          <t xml:space="preserve"> Reactive Power [MVAr]</t>
        </is>
      </c>
    </row>
    <row r="4">
      <c r="B4" s="5" t="n">
        <v>0</v>
      </c>
      <c r="C4" t="inlineStr">
        <is>
          <t>---</t>
        </is>
      </c>
      <c r="D4" t="n">
        <v>35</v>
      </c>
      <c r="E4" t="n">
        <v>0</v>
      </c>
      <c r="F4" t="inlineStr">
        <is>
          <t>---</t>
        </is>
      </c>
      <c r="G4" t="inlineStr">
        <is>
          <t>---</t>
        </is>
      </c>
      <c r="H4" t="n">
        <v>110</v>
      </c>
      <c r="I4" t="inlineStr">
        <is>
          <t>Gas turbine</t>
        </is>
      </c>
      <c r="J4" t="n">
        <v>1</v>
      </c>
      <c r="K4" t="n">
        <v>1.03</v>
      </c>
      <c r="L4" t="inlineStr">
        <is>
          <t>---</t>
        </is>
      </c>
      <c r="M4" t="n">
        <v/>
      </c>
      <c r="N4" t="inlineStr">
        <is>
          <t>---</t>
        </is>
      </c>
      <c r="O4" t="n">
        <v/>
      </c>
      <c r="P4" t="n">
        <v>100</v>
      </c>
      <c r="Q4" t="n">
        <v>18.06780230998993</v>
      </c>
    </row>
    <row r="5">
      <c r="B5" s="6" t="n">
        <v>1</v>
      </c>
      <c r="C5" t="inlineStr">
        <is>
          <t>---</t>
        </is>
      </c>
      <c r="D5" t="n">
        <v>35</v>
      </c>
      <c r="E5" t="n">
        <v>0</v>
      </c>
      <c r="F5" t="inlineStr">
        <is>
          <t>---</t>
        </is>
      </c>
      <c r="G5" t="inlineStr">
        <is>
          <t>---</t>
        </is>
      </c>
      <c r="H5" t="n">
        <v>110</v>
      </c>
      <c r="I5" t="inlineStr">
        <is>
          <t>Gas turbine</t>
        </is>
      </c>
      <c r="J5" t="n">
        <v>1</v>
      </c>
      <c r="K5" t="n">
        <v>1.03</v>
      </c>
      <c r="L5" t="inlineStr">
        <is>
          <t>---</t>
        </is>
      </c>
      <c r="M5" t="n">
        <v/>
      </c>
      <c r="N5" t="inlineStr">
        <is>
          <t>---</t>
        </is>
      </c>
      <c r="O5" t="n">
        <v/>
      </c>
      <c r="P5" t="n">
        <v>100</v>
      </c>
      <c r="Q5" t="n">
        <v>18.06780230998993</v>
      </c>
    </row>
    <row r="6">
      <c r="B6" t="n">
        <v>0</v>
      </c>
      <c r="C6" t="n">
        <v>1</v>
      </c>
      <c r="D6" t="n">
        <v>4</v>
      </c>
      <c r="E6" t="n">
        <v>2</v>
      </c>
      <c r="F6" t="inlineStr">
        <is>
          <t>Wind</t>
        </is>
      </c>
      <c r="G6" t="inlineStr">
        <is>
          <t>Wind Turbine</t>
        </is>
      </c>
      <c r="H6" t="n">
        <v>110</v>
      </c>
      <c r="I6" t="inlineStr">
        <is>
          <t>---</t>
        </is>
      </c>
      <c r="J6" t="n">
        <v>1</v>
      </c>
      <c r="K6" t="n">
        <v>1</v>
      </c>
      <c r="L6" t="n">
        <v>600</v>
      </c>
      <c r="M6" t="n">
        <v>450</v>
      </c>
      <c r="N6" t="n">
        <v>0</v>
      </c>
      <c r="O6" t="n">
        <v>-450</v>
      </c>
      <c r="P6" t="n">
        <v>466.51</v>
      </c>
      <c r="Q6" t="n">
        <v>-38.2096234444254</v>
      </c>
    </row>
    <row r="7">
      <c r="B7" t="n">
        <v>1</v>
      </c>
      <c r="C7" t="n">
        <v>1</v>
      </c>
      <c r="D7" t="n">
        <v>0</v>
      </c>
      <c r="E7" t="n">
        <v>0</v>
      </c>
      <c r="F7" t="inlineStr">
        <is>
          <t>Coal</t>
        </is>
      </c>
      <c r="G7" t="inlineStr">
        <is>
          <t>Steam Turbine</t>
        </is>
      </c>
      <c r="H7" t="n">
        <v>230</v>
      </c>
      <c r="I7" t="inlineStr">
        <is>
          <t>---</t>
        </is>
      </c>
      <c r="J7" t="n">
        <v>1</v>
      </c>
      <c r="K7" t="n">
        <v>1</v>
      </c>
      <c r="L7" t="n">
        <v>40</v>
      </c>
      <c r="M7" t="n">
        <v>30</v>
      </c>
      <c r="N7" t="n">
        <v>0</v>
      </c>
      <c r="O7" t="n">
        <v>-30</v>
      </c>
      <c r="P7">
        <f>P4*1.1</f>
        <v/>
      </c>
      <c r="Q7" t="n">
        <v>30.72515988161237</v>
      </c>
    </row>
    <row r="8">
      <c r="B8" t="n">
        <v>1</v>
      </c>
      <c r="C8" t="n">
        <v>1</v>
      </c>
      <c r="D8" t="n">
        <v>2</v>
      </c>
      <c r="E8" t="n">
        <v>1</v>
      </c>
      <c r="F8" t="inlineStr">
        <is>
          <t>NG</t>
        </is>
      </c>
      <c r="G8" t="inlineStr">
        <is>
          <t>Gas Turbine</t>
        </is>
      </c>
      <c r="H8" t="n">
        <v>230</v>
      </c>
      <c r="I8" t="inlineStr">
        <is>
          <t>---</t>
        </is>
      </c>
      <c r="J8" t="n">
        <v>1</v>
      </c>
      <c r="K8" t="n">
        <v>1</v>
      </c>
      <c r="L8" t="n">
        <v>520</v>
      </c>
      <c r="M8" t="n">
        <v>390</v>
      </c>
      <c r="N8" t="n">
        <v>0</v>
      </c>
      <c r="O8" t="n">
        <v>-390</v>
      </c>
      <c r="P8">
        <f>P5*1.1</f>
        <v/>
      </c>
      <c r="Q8" t="n">
        <v>194.6547201924518</v>
      </c>
    </row>
    <row r="9">
      <c r="B9" t="n">
        <v>1</v>
      </c>
      <c r="C9" t="n">
        <v>1</v>
      </c>
      <c r="D9" t="n">
        <v>4</v>
      </c>
      <c r="E9" t="n">
        <v>2</v>
      </c>
      <c r="F9" t="inlineStr">
        <is>
          <t>Wind</t>
        </is>
      </c>
      <c r="G9" t="inlineStr">
        <is>
          <t>Wind Turbine</t>
        </is>
      </c>
      <c r="H9" t="n">
        <v>110</v>
      </c>
      <c r="I9" t="inlineStr">
        <is>
          <t>---</t>
        </is>
      </c>
      <c r="J9" t="n">
        <v>1</v>
      </c>
      <c r="K9" t="n">
        <v>1</v>
      </c>
      <c r="L9" t="n">
        <v>600</v>
      </c>
      <c r="M9" t="n">
        <v>450</v>
      </c>
      <c r="N9" t="n">
        <v>0</v>
      </c>
      <c r="O9" t="n">
        <v>-450</v>
      </c>
      <c r="P9">
        <f>P6*1.1</f>
        <v/>
      </c>
      <c r="Q9" t="n">
        <v>-38.2096234444254</v>
      </c>
    </row>
    <row r="10">
      <c r="B10" t="n">
        <v>2</v>
      </c>
      <c r="C10" t="n">
        <v>1</v>
      </c>
      <c r="D10" t="n">
        <v>0</v>
      </c>
      <c r="E10" t="n">
        <v>0</v>
      </c>
      <c r="F10" t="inlineStr">
        <is>
          <t>Coal</t>
        </is>
      </c>
      <c r="G10" t="inlineStr">
        <is>
          <t>Steam Turbine</t>
        </is>
      </c>
      <c r="H10" t="n">
        <v>230</v>
      </c>
      <c r="I10" t="inlineStr">
        <is>
          <t>---</t>
        </is>
      </c>
      <c r="J10" t="n">
        <v>1</v>
      </c>
      <c r="K10" t="n">
        <v>1</v>
      </c>
      <c r="L10">
        <f>L4*1.1</f>
        <v/>
      </c>
      <c r="M10">
        <f>M4*1.1</f>
        <v/>
      </c>
      <c r="N10">
        <f>N4*1.1</f>
        <v/>
      </c>
      <c r="O10">
        <f>O4*1.1</f>
        <v/>
      </c>
      <c r="P10">
        <f>P7*1.1</f>
        <v/>
      </c>
      <c r="Q10">
        <f>Q4*1.1</f>
        <v/>
      </c>
    </row>
    <row r="11">
      <c r="B11" t="n">
        <v>2</v>
      </c>
      <c r="C11" t="n">
        <v>1</v>
      </c>
      <c r="D11" t="n">
        <v>2</v>
      </c>
      <c r="E11" t="n">
        <v>1</v>
      </c>
      <c r="F11" t="inlineStr">
        <is>
          <t>NG</t>
        </is>
      </c>
      <c r="G11" t="inlineStr">
        <is>
          <t>Gas Turbine</t>
        </is>
      </c>
      <c r="H11" t="n">
        <v>230</v>
      </c>
      <c r="I11" t="inlineStr">
        <is>
          <t>---</t>
        </is>
      </c>
      <c r="J11" t="n">
        <v>1</v>
      </c>
      <c r="K11" t="n">
        <v>1</v>
      </c>
      <c r="L11">
        <f>L5*1.1</f>
        <v/>
      </c>
      <c r="M11">
        <f>M5*1.1</f>
        <v/>
      </c>
      <c r="N11">
        <f>N5*1.1</f>
        <v/>
      </c>
      <c r="O11">
        <f>O5*1.1</f>
        <v/>
      </c>
      <c r="P11">
        <f>P8*1.1</f>
        <v/>
      </c>
      <c r="Q11">
        <f>Q5*1.1</f>
        <v/>
      </c>
    </row>
    <row r="12">
      <c r="B12" t="n">
        <v>2</v>
      </c>
      <c r="C12" t="n">
        <v>1</v>
      </c>
      <c r="D12" t="n">
        <v>4</v>
      </c>
      <c r="E12" t="n">
        <v>2</v>
      </c>
      <c r="F12" t="inlineStr">
        <is>
          <t>Wind</t>
        </is>
      </c>
      <c r="G12" t="inlineStr">
        <is>
          <t>Wind Turbine</t>
        </is>
      </c>
      <c r="H12" t="n">
        <v>110</v>
      </c>
      <c r="I12" t="inlineStr">
        <is>
          <t>---</t>
        </is>
      </c>
      <c r="J12" t="n">
        <v>1</v>
      </c>
      <c r="K12" t="n">
        <v>1</v>
      </c>
      <c r="L12">
        <f>L6*1.1</f>
        <v/>
      </c>
      <c r="M12">
        <f>M6*1.1</f>
        <v/>
      </c>
      <c r="N12">
        <f>N6*1.1</f>
        <v/>
      </c>
      <c r="O12">
        <f>O6*1.1</f>
        <v/>
      </c>
      <c r="P12">
        <f>P9*1.1</f>
        <v/>
      </c>
      <c r="Q12">
        <f>Q6*1.1</f>
        <v/>
      </c>
    </row>
    <row r="13">
      <c r="B13" t="n">
        <v>3</v>
      </c>
      <c r="C13" t="n">
        <v>1</v>
      </c>
      <c r="D13" t="n">
        <v>0</v>
      </c>
      <c r="E13" t="n">
        <v>0</v>
      </c>
      <c r="F13" t="inlineStr">
        <is>
          <t>Coal</t>
        </is>
      </c>
      <c r="G13" t="inlineStr">
        <is>
          <t>Steam Turbine</t>
        </is>
      </c>
      <c r="H13" t="n">
        <v>230</v>
      </c>
      <c r="I13" t="inlineStr">
        <is>
          <t>---</t>
        </is>
      </c>
      <c r="J13" t="n">
        <v>1</v>
      </c>
      <c r="K13" t="n">
        <v>1</v>
      </c>
      <c r="L13">
        <f>L7*1.1</f>
        <v/>
      </c>
      <c r="M13">
        <f>M7*1.1</f>
        <v/>
      </c>
      <c r="N13">
        <f>N7*1.1</f>
        <v/>
      </c>
      <c r="O13">
        <f>O7*1.1</f>
        <v/>
      </c>
      <c r="P13">
        <f>P10*1.1</f>
        <v/>
      </c>
      <c r="Q13">
        <f>Q7*1.1</f>
        <v/>
      </c>
    </row>
    <row r="14">
      <c r="B14" t="n">
        <v>3</v>
      </c>
      <c r="C14" t="n">
        <v>1</v>
      </c>
      <c r="D14" t="n">
        <v>2</v>
      </c>
      <c r="E14" t="n">
        <v>1</v>
      </c>
      <c r="F14" t="inlineStr">
        <is>
          <t>NG</t>
        </is>
      </c>
      <c r="G14" t="inlineStr">
        <is>
          <t>Gas Turbine</t>
        </is>
      </c>
      <c r="H14" t="n">
        <v>230</v>
      </c>
      <c r="I14" t="inlineStr">
        <is>
          <t>---</t>
        </is>
      </c>
      <c r="J14" t="n">
        <v>1</v>
      </c>
      <c r="K14" t="n">
        <v>1</v>
      </c>
      <c r="L14">
        <f>L8*1.1</f>
        <v/>
      </c>
      <c r="M14">
        <f>M8*1.1</f>
        <v/>
      </c>
      <c r="N14">
        <f>N8*1.1</f>
        <v/>
      </c>
      <c r="O14">
        <f>O8*1.1</f>
        <v/>
      </c>
      <c r="P14">
        <f>P11*1.1</f>
        <v/>
      </c>
      <c r="Q14">
        <f>Q8*1.1</f>
        <v/>
      </c>
    </row>
    <row r="15">
      <c r="B15" t="n">
        <v>3</v>
      </c>
      <c r="C15" t="n">
        <v>1</v>
      </c>
      <c r="D15" t="n">
        <v>4</v>
      </c>
      <c r="E15" t="n">
        <v>2</v>
      </c>
      <c r="F15" t="inlineStr">
        <is>
          <t>Wind</t>
        </is>
      </c>
      <c r="G15" t="inlineStr">
        <is>
          <t>Wind Turbine</t>
        </is>
      </c>
      <c r="H15" t="n">
        <v>110</v>
      </c>
      <c r="I15" t="inlineStr">
        <is>
          <t>---</t>
        </is>
      </c>
      <c r="J15" t="n">
        <v>1</v>
      </c>
      <c r="K15" t="n">
        <v>1</v>
      </c>
      <c r="L15">
        <f>L9*1.1</f>
        <v/>
      </c>
      <c r="M15">
        <f>M9*1.1</f>
        <v/>
      </c>
      <c r="N15">
        <f>N9*1.1</f>
        <v/>
      </c>
      <c r="O15">
        <f>O9*1.1</f>
        <v/>
      </c>
      <c r="P15">
        <f>P12*1.1</f>
        <v/>
      </c>
      <c r="Q15">
        <f>Q9*1.1</f>
        <v/>
      </c>
    </row>
    <row r="16">
      <c r="B16" t="n">
        <v>4</v>
      </c>
      <c r="C16" t="n">
        <v>1</v>
      </c>
      <c r="D16" t="n">
        <v>0</v>
      </c>
      <c r="E16" t="n">
        <v>0</v>
      </c>
      <c r="F16" t="inlineStr">
        <is>
          <t>Coal</t>
        </is>
      </c>
      <c r="G16" t="inlineStr">
        <is>
          <t>Steam Turbine</t>
        </is>
      </c>
      <c r="H16" t="n">
        <v>230</v>
      </c>
      <c r="I16" t="inlineStr">
        <is>
          <t>---</t>
        </is>
      </c>
      <c r="J16" t="n">
        <v>1</v>
      </c>
      <c r="K16" t="n">
        <v>1</v>
      </c>
      <c r="L16">
        <f>L10*1.1</f>
        <v/>
      </c>
      <c r="M16">
        <f>M10*1.1</f>
        <v/>
      </c>
      <c r="N16">
        <f>N10*1.1</f>
        <v/>
      </c>
      <c r="O16">
        <f>O10*1.1</f>
        <v/>
      </c>
      <c r="P16">
        <f>P13*1.1</f>
        <v/>
      </c>
      <c r="Q16">
        <f>Q10*1.1</f>
        <v/>
      </c>
    </row>
    <row r="17">
      <c r="B17" t="n">
        <v>4</v>
      </c>
      <c r="C17" t="n">
        <v>1</v>
      </c>
      <c r="D17" t="n">
        <v>2</v>
      </c>
      <c r="E17" t="n">
        <v>1</v>
      </c>
      <c r="F17" t="inlineStr">
        <is>
          <t>NG</t>
        </is>
      </c>
      <c r="G17" t="inlineStr">
        <is>
          <t>Gas Turbine</t>
        </is>
      </c>
      <c r="H17" t="n">
        <v>230</v>
      </c>
      <c r="I17" t="inlineStr">
        <is>
          <t>---</t>
        </is>
      </c>
      <c r="J17" t="n">
        <v>1</v>
      </c>
      <c r="K17" t="n">
        <v>1</v>
      </c>
      <c r="L17">
        <f>L11*1.1</f>
        <v/>
      </c>
      <c r="M17">
        <f>M11*1.1</f>
        <v/>
      </c>
      <c r="N17">
        <f>N11*1.1</f>
        <v/>
      </c>
      <c r="O17">
        <f>O11*1.1</f>
        <v/>
      </c>
      <c r="P17">
        <f>P14*1.1</f>
        <v/>
      </c>
      <c r="Q17">
        <f>Q11*1.1</f>
        <v/>
      </c>
    </row>
    <row r="18">
      <c r="B18" t="n">
        <v>4</v>
      </c>
      <c r="C18" t="n">
        <v>1</v>
      </c>
      <c r="D18" t="n">
        <v>4</v>
      </c>
      <c r="E18" t="n">
        <v>2</v>
      </c>
      <c r="F18" t="inlineStr">
        <is>
          <t>Wind</t>
        </is>
      </c>
      <c r="G18" t="inlineStr">
        <is>
          <t>Wind Turbine</t>
        </is>
      </c>
      <c r="H18" t="n">
        <v>110</v>
      </c>
      <c r="I18" t="inlineStr">
        <is>
          <t>---</t>
        </is>
      </c>
      <c r="J18" t="n">
        <v>1</v>
      </c>
      <c r="K18" t="n">
        <v>1</v>
      </c>
      <c r="L18">
        <f>L12*1.1</f>
        <v/>
      </c>
      <c r="M18">
        <f>M12*1.1</f>
        <v/>
      </c>
      <c r="N18">
        <f>N12*1.1</f>
        <v/>
      </c>
      <c r="O18">
        <f>O12*1.1</f>
        <v/>
      </c>
      <c r="P18">
        <f>P15*1.1</f>
        <v/>
      </c>
      <c r="Q18">
        <f>Q12*1.1</f>
        <v/>
      </c>
    </row>
    <row r="19">
      <c r="B19" t="n">
        <v>5</v>
      </c>
      <c r="C19" t="n">
        <v>1</v>
      </c>
      <c r="D19" t="n">
        <v>0</v>
      </c>
      <c r="E19" t="n">
        <v>0</v>
      </c>
      <c r="F19" t="inlineStr">
        <is>
          <t>Coal</t>
        </is>
      </c>
      <c r="G19" t="inlineStr">
        <is>
          <t>Steam Turbine</t>
        </is>
      </c>
      <c r="H19" t="n">
        <v>230</v>
      </c>
      <c r="I19" t="inlineStr">
        <is>
          <t>---</t>
        </is>
      </c>
      <c r="J19" t="n">
        <v>1</v>
      </c>
      <c r="K19" t="n">
        <v>1</v>
      </c>
      <c r="L19">
        <f>L13*1.1</f>
        <v/>
      </c>
      <c r="M19">
        <f>M13*1.1</f>
        <v/>
      </c>
      <c r="N19">
        <f>N13*1.1</f>
        <v/>
      </c>
      <c r="O19">
        <f>O13*1.1</f>
        <v/>
      </c>
      <c r="P19">
        <f>P16*1.1</f>
        <v/>
      </c>
      <c r="Q19">
        <f>Q13*1.1</f>
        <v/>
      </c>
    </row>
    <row r="20">
      <c r="B20" t="n">
        <v>5</v>
      </c>
      <c r="C20" t="n">
        <v>1</v>
      </c>
      <c r="D20" t="n">
        <v>2</v>
      </c>
      <c r="E20" t="n">
        <v>1</v>
      </c>
      <c r="F20" t="inlineStr">
        <is>
          <t>NG</t>
        </is>
      </c>
      <c r="G20" t="inlineStr">
        <is>
          <t>Gas Turbine</t>
        </is>
      </c>
      <c r="H20" t="n">
        <v>230</v>
      </c>
      <c r="I20" t="inlineStr">
        <is>
          <t>---</t>
        </is>
      </c>
      <c r="J20" t="n">
        <v>1</v>
      </c>
      <c r="K20" t="n">
        <v>1</v>
      </c>
      <c r="L20">
        <f>L14*1.1</f>
        <v/>
      </c>
      <c r="M20">
        <f>M14*1.1</f>
        <v/>
      </c>
      <c r="N20">
        <f>N14*1.1</f>
        <v/>
      </c>
      <c r="O20">
        <f>O14*1.1</f>
        <v/>
      </c>
      <c r="P20">
        <f>P17*1.1</f>
        <v/>
      </c>
      <c r="Q20">
        <f>Q14*1.1</f>
        <v/>
      </c>
    </row>
    <row r="21">
      <c r="B21" t="n">
        <v>5</v>
      </c>
      <c r="C21" t="n">
        <v>1</v>
      </c>
      <c r="D21" t="n">
        <v>4</v>
      </c>
      <c r="E21" t="n">
        <v>2</v>
      </c>
      <c r="F21" t="inlineStr">
        <is>
          <t>Wind</t>
        </is>
      </c>
      <c r="G21" t="inlineStr">
        <is>
          <t>Wind Turbine</t>
        </is>
      </c>
      <c r="H21" t="n">
        <v>110</v>
      </c>
      <c r="I21" t="inlineStr">
        <is>
          <t>---</t>
        </is>
      </c>
      <c r="J21" t="n">
        <v>1</v>
      </c>
      <c r="K21" t="n">
        <v>1</v>
      </c>
      <c r="L21">
        <f>L15*1.1</f>
        <v/>
      </c>
      <c r="M21">
        <f>M15*1.1</f>
        <v/>
      </c>
      <c r="N21">
        <f>N15*1.1</f>
        <v/>
      </c>
      <c r="O21">
        <f>O15*1.1</f>
        <v/>
      </c>
      <c r="P21">
        <f>P18*1.1</f>
        <v/>
      </c>
      <c r="Q21">
        <f>Q15*1.1</f>
        <v/>
      </c>
    </row>
    <row r="22">
      <c r="B22" t="n">
        <v>6</v>
      </c>
      <c r="C22" t="n">
        <v>1</v>
      </c>
      <c r="D22" t="n">
        <v>0</v>
      </c>
      <c r="E22" t="n">
        <v>0</v>
      </c>
      <c r="F22" t="inlineStr">
        <is>
          <t>Coal</t>
        </is>
      </c>
      <c r="G22" t="inlineStr">
        <is>
          <t>Steam Turbine</t>
        </is>
      </c>
      <c r="H22" t="n">
        <v>230</v>
      </c>
      <c r="I22" t="inlineStr">
        <is>
          <t>---</t>
        </is>
      </c>
      <c r="J22" t="n">
        <v>1</v>
      </c>
      <c r="K22" t="n">
        <v>1</v>
      </c>
      <c r="L22">
        <f>L16*1.1</f>
        <v/>
      </c>
      <c r="M22">
        <f>M16*1.1</f>
        <v/>
      </c>
      <c r="N22">
        <f>N16*1.1</f>
        <v/>
      </c>
      <c r="O22">
        <f>O16*1.1</f>
        <v/>
      </c>
      <c r="P22">
        <f>P19*1.1</f>
        <v/>
      </c>
      <c r="Q22">
        <f>Q16*1.1</f>
        <v/>
      </c>
    </row>
    <row r="23">
      <c r="B23" t="n">
        <v>6</v>
      </c>
      <c r="C23" t="n">
        <v>1</v>
      </c>
      <c r="D23" t="n">
        <v>2</v>
      </c>
      <c r="E23" t="n">
        <v>1</v>
      </c>
      <c r="F23" t="inlineStr">
        <is>
          <t>NG</t>
        </is>
      </c>
      <c r="G23" t="inlineStr">
        <is>
          <t>Gas Turbine</t>
        </is>
      </c>
      <c r="H23" t="n">
        <v>230</v>
      </c>
      <c r="I23" t="inlineStr">
        <is>
          <t>---</t>
        </is>
      </c>
      <c r="J23" t="n">
        <v>1</v>
      </c>
      <c r="K23" t="n">
        <v>1</v>
      </c>
      <c r="L23">
        <f>L17*1.1</f>
        <v/>
      </c>
      <c r="M23">
        <f>M17*1.1</f>
        <v/>
      </c>
      <c r="N23">
        <f>N17*1.1</f>
        <v/>
      </c>
      <c r="O23">
        <f>O17*1.1</f>
        <v/>
      </c>
      <c r="P23">
        <f>P20*1.1</f>
        <v/>
      </c>
      <c r="Q23">
        <f>Q17*1.1</f>
        <v/>
      </c>
    </row>
    <row r="24">
      <c r="B24" t="n">
        <v>6</v>
      </c>
      <c r="C24" t="n">
        <v>1</v>
      </c>
      <c r="D24" t="n">
        <v>4</v>
      </c>
      <c r="E24" t="n">
        <v>2</v>
      </c>
      <c r="F24" t="inlineStr">
        <is>
          <t>Wind</t>
        </is>
      </c>
      <c r="G24" t="inlineStr">
        <is>
          <t>Wind Turbine</t>
        </is>
      </c>
      <c r="H24" t="n">
        <v>110</v>
      </c>
      <c r="I24" t="inlineStr">
        <is>
          <t>---</t>
        </is>
      </c>
      <c r="J24" t="n">
        <v>1</v>
      </c>
      <c r="K24" t="n">
        <v>1</v>
      </c>
      <c r="L24">
        <f>L18*1.1</f>
        <v/>
      </c>
      <c r="M24">
        <f>M18*1.1</f>
        <v/>
      </c>
      <c r="N24">
        <f>N18*1.1</f>
        <v/>
      </c>
      <c r="O24">
        <f>O18*1.1</f>
        <v/>
      </c>
      <c r="P24">
        <f>P21*1.1</f>
        <v/>
      </c>
      <c r="Q24">
        <f>Q18*1.1</f>
        <v/>
      </c>
    </row>
    <row r="25">
      <c r="B25" t="n">
        <v>7</v>
      </c>
      <c r="C25" t="n">
        <v>1</v>
      </c>
      <c r="D25" t="n">
        <v>0</v>
      </c>
      <c r="E25" t="n">
        <v>0</v>
      </c>
      <c r="F25" t="inlineStr">
        <is>
          <t>Coal</t>
        </is>
      </c>
      <c r="G25" t="inlineStr">
        <is>
          <t>Steam Turbine</t>
        </is>
      </c>
      <c r="H25" t="n">
        <v>230</v>
      </c>
      <c r="I25" t="inlineStr">
        <is>
          <t>---</t>
        </is>
      </c>
      <c r="J25" t="n">
        <v>1</v>
      </c>
      <c r="K25" t="n">
        <v>1</v>
      </c>
      <c r="L25">
        <f>L19*1.1</f>
        <v/>
      </c>
      <c r="M25">
        <f>M19*1.1</f>
        <v/>
      </c>
      <c r="N25">
        <f>N19*1.1</f>
        <v/>
      </c>
      <c r="O25">
        <f>O19*1.1</f>
        <v/>
      </c>
      <c r="P25">
        <f>P22*1.1</f>
        <v/>
      </c>
      <c r="Q25">
        <f>Q19*1.1</f>
        <v/>
      </c>
    </row>
    <row r="26">
      <c r="B26" t="n">
        <v>7</v>
      </c>
      <c r="C26" t="n">
        <v>1</v>
      </c>
      <c r="D26" t="n">
        <v>2</v>
      </c>
      <c r="E26" t="n">
        <v>1</v>
      </c>
      <c r="F26" t="inlineStr">
        <is>
          <t>NG</t>
        </is>
      </c>
      <c r="G26" t="inlineStr">
        <is>
          <t>Gas Turbine</t>
        </is>
      </c>
      <c r="H26" t="n">
        <v>230</v>
      </c>
      <c r="I26" t="inlineStr">
        <is>
          <t>---</t>
        </is>
      </c>
      <c r="J26" t="n">
        <v>1</v>
      </c>
      <c r="K26" t="n">
        <v>1</v>
      </c>
      <c r="L26">
        <f>L20*1.1</f>
        <v/>
      </c>
      <c r="M26">
        <f>M20*1.1</f>
        <v/>
      </c>
      <c r="N26">
        <f>N20*1.1</f>
        <v/>
      </c>
      <c r="O26">
        <f>O20*1.1</f>
        <v/>
      </c>
      <c r="P26">
        <f>P23*1.1</f>
        <v/>
      </c>
      <c r="Q26">
        <f>Q20*1.1</f>
        <v/>
      </c>
    </row>
    <row r="27">
      <c r="B27" t="n">
        <v>7</v>
      </c>
      <c r="C27" t="n">
        <v>1</v>
      </c>
      <c r="D27" t="n">
        <v>4</v>
      </c>
      <c r="E27" t="n">
        <v>2</v>
      </c>
      <c r="F27" t="inlineStr">
        <is>
          <t>Wind</t>
        </is>
      </c>
      <c r="G27" t="inlineStr">
        <is>
          <t>Wind Turbine</t>
        </is>
      </c>
      <c r="H27" t="n">
        <v>110</v>
      </c>
      <c r="I27" t="inlineStr">
        <is>
          <t>---</t>
        </is>
      </c>
      <c r="J27" t="n">
        <v>1</v>
      </c>
      <c r="K27" t="n">
        <v>1</v>
      </c>
      <c r="L27">
        <f>L21*1.1</f>
        <v/>
      </c>
      <c r="M27">
        <f>M21*1.1</f>
        <v/>
      </c>
      <c r="N27">
        <f>N21*1.1</f>
        <v/>
      </c>
      <c r="O27">
        <f>O21*1.1</f>
        <v/>
      </c>
      <c r="P27">
        <f>P24*1.1</f>
        <v/>
      </c>
      <c r="Q27">
        <f>Q21*1.1</f>
        <v/>
      </c>
    </row>
    <row r="28">
      <c r="B28" t="n">
        <v>8</v>
      </c>
      <c r="C28" t="n">
        <v>1</v>
      </c>
      <c r="D28" t="n">
        <v>0</v>
      </c>
      <c r="E28" t="n">
        <v>0</v>
      </c>
      <c r="F28" t="inlineStr">
        <is>
          <t>Coal</t>
        </is>
      </c>
      <c r="G28" t="inlineStr">
        <is>
          <t>Steam Turbine</t>
        </is>
      </c>
      <c r="H28" t="n">
        <v>230</v>
      </c>
      <c r="I28" t="inlineStr">
        <is>
          <t>---</t>
        </is>
      </c>
      <c r="J28" t="n">
        <v>1</v>
      </c>
      <c r="K28" t="n">
        <v>1</v>
      </c>
      <c r="L28">
        <f>L22*1.1</f>
        <v/>
      </c>
      <c r="M28">
        <f>M22*1.1</f>
        <v/>
      </c>
      <c r="N28">
        <f>N22*1.1</f>
        <v/>
      </c>
      <c r="O28">
        <f>O22*1.1</f>
        <v/>
      </c>
      <c r="P28">
        <f>P25*1.1</f>
        <v/>
      </c>
      <c r="Q28">
        <f>Q22*1.1</f>
        <v/>
      </c>
    </row>
    <row r="29">
      <c r="B29" t="n">
        <v>8</v>
      </c>
      <c r="C29" t="n">
        <v>1</v>
      </c>
      <c r="D29" t="n">
        <v>2</v>
      </c>
      <c r="E29" t="n">
        <v>1</v>
      </c>
      <c r="F29" t="inlineStr">
        <is>
          <t>NG</t>
        </is>
      </c>
      <c r="G29" t="inlineStr">
        <is>
          <t>Gas Turbine</t>
        </is>
      </c>
      <c r="H29" t="n">
        <v>230</v>
      </c>
      <c r="I29" t="inlineStr">
        <is>
          <t>---</t>
        </is>
      </c>
      <c r="J29" t="n">
        <v>1</v>
      </c>
      <c r="K29" t="n">
        <v>1</v>
      </c>
      <c r="L29">
        <f>L23*1.1</f>
        <v/>
      </c>
      <c r="M29">
        <f>M23*1.1</f>
        <v/>
      </c>
      <c r="N29">
        <f>N23*1.1</f>
        <v/>
      </c>
      <c r="O29">
        <f>O23*1.1</f>
        <v/>
      </c>
      <c r="P29">
        <f>P26*1.1</f>
        <v/>
      </c>
      <c r="Q29">
        <f>Q23*1.1</f>
        <v/>
      </c>
    </row>
    <row r="30">
      <c r="B30" t="n">
        <v>8</v>
      </c>
      <c r="C30" t="n">
        <v>1</v>
      </c>
      <c r="D30" t="n">
        <v>4</v>
      </c>
      <c r="E30" t="n">
        <v>2</v>
      </c>
      <c r="F30" t="inlineStr">
        <is>
          <t>Wind</t>
        </is>
      </c>
      <c r="G30" t="inlineStr">
        <is>
          <t>Wind Turbine</t>
        </is>
      </c>
      <c r="H30" t="n">
        <v>110</v>
      </c>
      <c r="I30" t="inlineStr">
        <is>
          <t>---</t>
        </is>
      </c>
      <c r="J30" t="n">
        <v>1</v>
      </c>
      <c r="K30" t="n">
        <v>1</v>
      </c>
      <c r="L30">
        <f>L24*1.1</f>
        <v/>
      </c>
      <c r="M30">
        <f>M24*1.1</f>
        <v/>
      </c>
      <c r="N30">
        <f>N24*1.1</f>
        <v/>
      </c>
      <c r="O30">
        <f>O24*1.1</f>
        <v/>
      </c>
      <c r="P30">
        <f>P27*1.1</f>
        <v/>
      </c>
      <c r="Q30">
        <f>Q24*1.1</f>
        <v/>
      </c>
    </row>
    <row r="31">
      <c r="B31" t="n">
        <v>9</v>
      </c>
      <c r="C31" t="n">
        <v>1</v>
      </c>
      <c r="D31" t="n">
        <v>0</v>
      </c>
      <c r="E31" t="n">
        <v>0</v>
      </c>
      <c r="F31" t="inlineStr">
        <is>
          <t>Coal</t>
        </is>
      </c>
      <c r="G31" t="inlineStr">
        <is>
          <t>Steam Turbine</t>
        </is>
      </c>
      <c r="H31" t="n">
        <v>230</v>
      </c>
      <c r="I31" t="inlineStr">
        <is>
          <t>---</t>
        </is>
      </c>
      <c r="J31" t="n">
        <v>1</v>
      </c>
      <c r="K31" t="n">
        <v>1</v>
      </c>
      <c r="L31">
        <f>L25*1.1</f>
        <v/>
      </c>
      <c r="M31">
        <f>M25*1.1</f>
        <v/>
      </c>
      <c r="N31">
        <f>N25*1.1</f>
        <v/>
      </c>
      <c r="O31">
        <f>O25*1.1</f>
        <v/>
      </c>
      <c r="P31">
        <f>P28*1.1</f>
        <v/>
      </c>
      <c r="Q31">
        <f>Q25*1.1</f>
        <v/>
      </c>
    </row>
    <row r="32">
      <c r="B32" t="n">
        <v>9</v>
      </c>
      <c r="C32" t="n">
        <v>1</v>
      </c>
      <c r="D32" t="n">
        <v>2</v>
      </c>
      <c r="E32" t="n">
        <v>1</v>
      </c>
      <c r="F32" t="inlineStr">
        <is>
          <t>NG</t>
        </is>
      </c>
      <c r="G32" t="inlineStr">
        <is>
          <t>Gas Turbine</t>
        </is>
      </c>
      <c r="H32" t="n">
        <v>230</v>
      </c>
      <c r="I32" t="inlineStr">
        <is>
          <t>---</t>
        </is>
      </c>
      <c r="J32" t="n">
        <v>1</v>
      </c>
      <c r="K32" t="n">
        <v>1</v>
      </c>
      <c r="L32">
        <f>L26*1.1</f>
        <v/>
      </c>
      <c r="M32">
        <f>M26*1.1</f>
        <v/>
      </c>
      <c r="N32">
        <f>N26*1.1</f>
        <v/>
      </c>
      <c r="O32">
        <f>O26*1.1</f>
        <v/>
      </c>
      <c r="P32">
        <f>P29*1.1</f>
        <v/>
      </c>
      <c r="Q32">
        <f>Q26*1.1</f>
        <v/>
      </c>
    </row>
    <row r="33">
      <c r="B33" t="n">
        <v>9</v>
      </c>
      <c r="C33" t="n">
        <v>1</v>
      </c>
      <c r="D33" t="n">
        <v>4</v>
      </c>
      <c r="E33" t="n">
        <v>2</v>
      </c>
      <c r="F33" t="inlineStr">
        <is>
          <t>Wind</t>
        </is>
      </c>
      <c r="G33" t="inlineStr">
        <is>
          <t>Wind Turbine</t>
        </is>
      </c>
      <c r="H33" t="n">
        <v>110</v>
      </c>
      <c r="I33" t="inlineStr">
        <is>
          <t>---</t>
        </is>
      </c>
      <c r="J33" t="n">
        <v>1</v>
      </c>
      <c r="K33" t="n">
        <v>1</v>
      </c>
      <c r="L33">
        <f>L27*1.1</f>
        <v/>
      </c>
      <c r="M33">
        <f>M27*1.1</f>
        <v/>
      </c>
      <c r="N33">
        <f>N27*1.1</f>
        <v/>
      </c>
      <c r="O33">
        <f>O27*1.1</f>
        <v/>
      </c>
      <c r="P33">
        <f>P30*1.1</f>
        <v/>
      </c>
      <c r="Q33">
        <f>Q27*1.1</f>
        <v/>
      </c>
    </row>
    <row r="34">
      <c r="B34" t="n">
        <v>10</v>
      </c>
      <c r="C34" t="n">
        <v>1</v>
      </c>
      <c r="D34" t="n">
        <v>0</v>
      </c>
      <c r="E34" t="n">
        <v>0</v>
      </c>
      <c r="F34" t="inlineStr">
        <is>
          <t>Coal</t>
        </is>
      </c>
      <c r="G34" t="inlineStr">
        <is>
          <t>Steam Turbine</t>
        </is>
      </c>
      <c r="H34" t="n">
        <v>230</v>
      </c>
      <c r="I34" t="inlineStr">
        <is>
          <t>---</t>
        </is>
      </c>
      <c r="J34" t="n">
        <v>1</v>
      </c>
      <c r="K34" t="n">
        <v>1</v>
      </c>
      <c r="L34">
        <f>L28*1.1</f>
        <v/>
      </c>
      <c r="M34">
        <f>M28*1.1</f>
        <v/>
      </c>
      <c r="N34">
        <f>N28*1.1</f>
        <v/>
      </c>
      <c r="O34">
        <f>O28*1.1</f>
        <v/>
      </c>
      <c r="P34">
        <f>P31*1.1</f>
        <v/>
      </c>
      <c r="Q34">
        <f>Q28*1.1</f>
        <v/>
      </c>
    </row>
    <row r="35">
      <c r="B35" t="n">
        <v>10</v>
      </c>
      <c r="C35" t="n">
        <v>1</v>
      </c>
      <c r="D35" t="n">
        <v>2</v>
      </c>
      <c r="E35" t="n">
        <v>1</v>
      </c>
      <c r="F35" t="inlineStr">
        <is>
          <t>NG</t>
        </is>
      </c>
      <c r="G35" t="inlineStr">
        <is>
          <t>Gas Turbine</t>
        </is>
      </c>
      <c r="H35" t="n">
        <v>230</v>
      </c>
      <c r="I35" t="inlineStr">
        <is>
          <t>---</t>
        </is>
      </c>
      <c r="J35" t="n">
        <v>1</v>
      </c>
      <c r="K35" t="n">
        <v>1</v>
      </c>
      <c r="L35">
        <f>L29*1.1</f>
        <v/>
      </c>
      <c r="M35">
        <f>M29*1.1</f>
        <v/>
      </c>
      <c r="N35">
        <f>N29*1.1</f>
        <v/>
      </c>
      <c r="O35">
        <f>O29*1.1</f>
        <v/>
      </c>
      <c r="P35">
        <f>P32*1.1</f>
        <v/>
      </c>
      <c r="Q35">
        <f>Q29*1.1</f>
        <v/>
      </c>
    </row>
    <row r="36">
      <c r="B36" t="n">
        <v>10</v>
      </c>
      <c r="C36" t="n">
        <v>1</v>
      </c>
      <c r="D36" t="n">
        <v>4</v>
      </c>
      <c r="E36" t="n">
        <v>2</v>
      </c>
      <c r="F36" t="inlineStr">
        <is>
          <t>Wind</t>
        </is>
      </c>
      <c r="G36" t="inlineStr">
        <is>
          <t>Wind Turbine</t>
        </is>
      </c>
      <c r="H36" t="n">
        <v>110</v>
      </c>
      <c r="I36" t="inlineStr">
        <is>
          <t>---</t>
        </is>
      </c>
      <c r="J36" t="n">
        <v>1</v>
      </c>
      <c r="K36" t="n">
        <v>1</v>
      </c>
      <c r="L36">
        <f>L30*1.1</f>
        <v/>
      </c>
      <c r="M36">
        <f>M30*1.1</f>
        <v/>
      </c>
      <c r="N36">
        <f>N30*1.1</f>
        <v/>
      </c>
      <c r="O36">
        <f>O30*1.1</f>
        <v/>
      </c>
      <c r="P36">
        <f>P33*1.1</f>
        <v/>
      </c>
      <c r="Q36">
        <f>Q30*1.1</f>
        <v/>
      </c>
    </row>
  </sheetData>
  <mergeCells count="1">
    <mergeCell ref="B2:Q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K117"/>
  <sheetViews>
    <sheetView workbookViewId="0">
      <selection activeCell="B5" sqref="B5"/>
    </sheetView>
  </sheetViews>
  <sheetFormatPr baseColWidth="8" defaultRowHeight="14.4"/>
  <cols>
    <col width="2.6640625" customWidth="1" style="14" min="1" max="1"/>
    <col width="9.5546875" bestFit="1" customWidth="1" style="14" min="2" max="2"/>
    <col width="9.6640625" bestFit="1" customWidth="1" style="14" min="3" max="3"/>
    <col width="8.33203125" bestFit="1" customWidth="1" style="14" min="4" max="4"/>
    <col width="10.44140625" bestFit="1" customWidth="1" style="14" min="5" max="5"/>
    <col width="13.6640625" bestFit="1" customWidth="1" style="14" min="6" max="6"/>
    <col width="9.6640625" bestFit="1" customWidth="1" style="14" min="7" max="7"/>
    <col width="9.33203125" customWidth="1" style="14" min="8" max="8"/>
    <col width="14.33203125" bestFit="1" customWidth="1" style="14" min="9" max="9"/>
    <col width="16.33203125" bestFit="1" customWidth="1" style="14" min="10" max="10"/>
    <col width="14.44140625" customWidth="1" style="14" min="11" max="11"/>
  </cols>
  <sheetData>
    <row r="1" ht="15.6" customHeight="1" s="14"/>
    <row r="2" ht="21" customHeight="1" s="14">
      <c r="B2" s="13" t="inlineStr">
        <is>
          <t>Buses Parameters</t>
        </is>
      </c>
    </row>
    <row r="3" ht="28.95" customFormat="1" customHeight="1" s="2" thickBot="1">
      <c r="B3" s="4" t="inlineStr">
        <is>
          <t>Step</t>
        </is>
      </c>
      <c r="C3" s="1" t="inlineStr">
        <is>
          <t>Bus Index</t>
        </is>
      </c>
      <c r="D3" s="1" t="inlineStr">
        <is>
          <t>Zone</t>
        </is>
      </c>
      <c r="E3" s="1" t="inlineStr">
        <is>
          <t>Name</t>
        </is>
      </c>
      <c r="F3" s="1" t="inlineStr">
        <is>
          <t>Voltage Level [kV]</t>
        </is>
      </c>
      <c r="G3" s="1" t="inlineStr">
        <is>
          <t>In Service</t>
        </is>
      </c>
      <c r="H3" s="1" t="inlineStr">
        <is>
          <t>Voltage [p.u]</t>
        </is>
      </c>
      <c r="I3" s="1" t="inlineStr">
        <is>
          <t>Voltage Phase [degree]</t>
        </is>
      </c>
      <c r="J3" s="1" t="inlineStr">
        <is>
          <t>Active Power [MW]</t>
        </is>
      </c>
      <c r="K3" s="1" t="inlineStr">
        <is>
          <t>Reactive Power [MVAr]</t>
        </is>
      </c>
    </row>
    <row r="4">
      <c r="B4" s="5" t="n">
        <v>0</v>
      </c>
      <c r="C4" t="n">
        <v>0</v>
      </c>
      <c r="E4" t="inlineStr">
        <is>
          <t>Double Busbar 1</t>
        </is>
      </c>
      <c r="F4" t="n">
        <v>380</v>
      </c>
      <c r="G4" t="n">
        <v>1</v>
      </c>
      <c r="H4" t="n">
        <v>1.03</v>
      </c>
      <c r="I4" t="n">
        <v>0</v>
      </c>
      <c r="J4" t="n">
        <v>-128.6457315929805</v>
      </c>
      <c r="K4" t="n">
        <v>6.688057460693495</v>
      </c>
    </row>
    <row r="5">
      <c r="B5" s="6" t="n">
        <v>0</v>
      </c>
      <c r="C5" t="n">
        <v>1</v>
      </c>
      <c r="E5" t="inlineStr">
        <is>
          <t>Double Busbar 2</t>
        </is>
      </c>
      <c r="F5" t="n">
        <v>380</v>
      </c>
      <c r="G5" t="n">
        <v>1</v>
      </c>
      <c r="H5" t="n">
        <v>1.03</v>
      </c>
      <c r="I5" t="n">
        <v>0</v>
      </c>
      <c r="J5" t="n">
        <v>0</v>
      </c>
      <c r="K5" t="n">
        <v>0</v>
      </c>
    </row>
    <row r="6">
      <c r="B6" t="n">
        <v>0</v>
      </c>
      <c r="C6" t="n">
        <v>2</v>
      </c>
      <c r="E6" t="inlineStr">
        <is>
          <t>Bus DB T0</t>
        </is>
      </c>
      <c r="F6" t="n">
        <v>380</v>
      </c>
      <c r="G6" t="n">
        <v>1</v>
      </c>
      <c r="H6" t="n">
        <v>1.03</v>
      </c>
      <c r="I6" t="n">
        <v>0</v>
      </c>
      <c r="J6" t="n">
        <v>0</v>
      </c>
      <c r="K6" t="n">
        <v>0</v>
      </c>
    </row>
    <row r="7">
      <c r="B7" t="n">
        <v>0</v>
      </c>
      <c r="C7" t="n">
        <v>3</v>
      </c>
      <c r="E7" t="inlineStr">
        <is>
          <t>Bus DB T1</t>
        </is>
      </c>
      <c r="F7" t="n">
        <v>380</v>
      </c>
      <c r="G7" t="n">
        <v>1</v>
      </c>
      <c r="H7" t="n">
        <v>1.03</v>
      </c>
      <c r="I7" t="n">
        <v>0</v>
      </c>
      <c r="J7" t="n">
        <v>0</v>
      </c>
      <c r="K7" t="n">
        <v>0</v>
      </c>
    </row>
    <row r="8">
      <c r="B8" t="n">
        <v>0</v>
      </c>
      <c r="C8" t="n">
        <v>4</v>
      </c>
      <c r="E8" t="inlineStr">
        <is>
          <t>Bus DB T2</t>
        </is>
      </c>
      <c r="F8" t="n">
        <v>380</v>
      </c>
      <c r="G8" t="n">
        <v>1</v>
      </c>
      <c r="H8" t="n">
        <v>1.03</v>
      </c>
      <c r="I8" t="n">
        <v>0</v>
      </c>
      <c r="J8" t="n">
        <v>0</v>
      </c>
      <c r="K8" t="n">
        <v>0</v>
      </c>
    </row>
    <row r="9">
      <c r="B9" t="n">
        <v>0</v>
      </c>
      <c r="C9" t="n">
        <v>5</v>
      </c>
      <c r="E9" t="inlineStr">
        <is>
          <t>Bus DB T3</t>
        </is>
      </c>
      <c r="F9" t="n">
        <v>380</v>
      </c>
      <c r="G9" t="n">
        <v>1</v>
      </c>
      <c r="H9" t="n">
        <v>1.03</v>
      </c>
      <c r="I9" t="n">
        <v>0</v>
      </c>
      <c r="J9" t="n">
        <v>0</v>
      </c>
      <c r="K9" t="n">
        <v>0</v>
      </c>
    </row>
    <row r="10">
      <c r="B10" t="n">
        <v>0</v>
      </c>
      <c r="C10" t="n">
        <v>6</v>
      </c>
      <c r="E10" t="inlineStr">
        <is>
          <t>Bus DB T4</t>
        </is>
      </c>
      <c r="F10" t="n">
        <v>380</v>
      </c>
      <c r="G10" t="n">
        <v>1</v>
      </c>
      <c r="H10" t="n">
        <v>1.03</v>
      </c>
      <c r="I10" t="n">
        <v>0</v>
      </c>
      <c r="J10" t="n">
        <v>0</v>
      </c>
      <c r="K10" t="n">
        <v>0</v>
      </c>
    </row>
    <row r="11">
      <c r="B11" t="n">
        <v>0</v>
      </c>
      <c r="C11" t="n">
        <v>7</v>
      </c>
      <c r="E11" t="inlineStr">
        <is>
          <t>Bus DB T5</t>
        </is>
      </c>
      <c r="F11" t="n">
        <v>380</v>
      </c>
      <c r="G11" t="n">
        <v>1</v>
      </c>
      <c r="H11" t="n">
        <v>1.03</v>
      </c>
      <c r="I11" t="n">
        <v>0</v>
      </c>
      <c r="J11" t="n">
        <v>0</v>
      </c>
      <c r="K11" t="n">
        <v>0</v>
      </c>
    </row>
    <row r="12">
      <c r="B12" t="n">
        <v>0</v>
      </c>
      <c r="C12" t="n">
        <v>8</v>
      </c>
      <c r="E12" t="inlineStr">
        <is>
          <t>Bus DB T6</t>
        </is>
      </c>
      <c r="F12" t="n">
        <v>380</v>
      </c>
      <c r="G12" t="n">
        <v>1</v>
      </c>
      <c r="H12" t="n">
        <v>1.03</v>
      </c>
      <c r="I12" t="n">
        <v>0</v>
      </c>
      <c r="J12" t="n">
        <v>0</v>
      </c>
      <c r="K12" t="n">
        <v>0</v>
      </c>
    </row>
    <row r="13">
      <c r="B13" t="n">
        <v>0</v>
      </c>
      <c r="C13" t="n">
        <v>9</v>
      </c>
      <c r="E13" t="inlineStr">
        <is>
          <t>Bus DB T7</t>
        </is>
      </c>
      <c r="F13" t="n">
        <v>380</v>
      </c>
      <c r="G13" t="n">
        <v>1</v>
      </c>
      <c r="H13" t="n">
        <v>1.03</v>
      </c>
      <c r="I13" t="n">
        <v>0</v>
      </c>
      <c r="J13" t="n">
        <v>0</v>
      </c>
      <c r="K13" t="n">
        <v>0</v>
      </c>
    </row>
    <row r="14">
      <c r="B14" t="n">
        <v>0</v>
      </c>
      <c r="C14" t="n">
        <v>10</v>
      </c>
      <c r="E14" t="inlineStr">
        <is>
          <t>Bus DB T8</t>
        </is>
      </c>
      <c r="F14" t="n">
        <v>380</v>
      </c>
      <c r="G14" t="n">
        <v>1</v>
      </c>
      <c r="H14" t="n">
        <v>1.03</v>
      </c>
      <c r="I14" t="n">
        <v>0</v>
      </c>
      <c r="J14" t="n">
        <v>0</v>
      </c>
      <c r="K14" t="n">
        <v>0</v>
      </c>
    </row>
    <row r="15">
      <c r="B15" t="n">
        <v>0</v>
      </c>
      <c r="C15" t="n">
        <v>11</v>
      </c>
      <c r="E15" t="inlineStr">
        <is>
          <t>Bus DB T9</t>
        </is>
      </c>
      <c r="F15" t="n">
        <v>380</v>
      </c>
      <c r="G15" t="n">
        <v>1</v>
      </c>
      <c r="H15" t="n">
        <v>1.03</v>
      </c>
      <c r="I15" t="n">
        <v>0</v>
      </c>
      <c r="J15" t="n">
        <v>0</v>
      </c>
      <c r="K15" t="n">
        <v>0</v>
      </c>
    </row>
    <row r="16">
      <c r="B16" t="n">
        <v>0</v>
      </c>
      <c r="C16" t="n">
        <v>12</v>
      </c>
      <c r="E16" t="inlineStr">
        <is>
          <t>Bus DB 1</t>
        </is>
      </c>
      <c r="F16" t="n">
        <v>380</v>
      </c>
      <c r="G16" t="n">
        <v>1</v>
      </c>
      <c r="H16" t="n">
        <v>1.03</v>
      </c>
      <c r="I16" t="n">
        <v>0</v>
      </c>
      <c r="J16" t="n">
        <v>0</v>
      </c>
      <c r="K16" t="n">
        <v>0</v>
      </c>
    </row>
    <row r="17">
      <c r="B17" t="n">
        <v>0</v>
      </c>
      <c r="C17" t="n">
        <v>13</v>
      </c>
      <c r="E17" t="inlineStr">
        <is>
          <t>Bus DB 2</t>
        </is>
      </c>
      <c r="F17" t="n">
        <v>380</v>
      </c>
      <c r="G17" t="n">
        <v>1</v>
      </c>
      <c r="H17" t="n">
        <v>1.03</v>
      </c>
      <c r="I17" t="n">
        <v>0</v>
      </c>
      <c r="J17" t="n">
        <v>0</v>
      </c>
      <c r="K17" t="n">
        <v>0</v>
      </c>
    </row>
    <row r="18">
      <c r="B18" t="n">
        <v>0</v>
      </c>
      <c r="C18" t="n">
        <v>14</v>
      </c>
      <c r="E18" t="inlineStr">
        <is>
          <t>Bus DB 3</t>
        </is>
      </c>
      <c r="F18" t="n">
        <v>380</v>
      </c>
      <c r="G18" t="n">
        <v>1</v>
      </c>
      <c r="H18" t="n">
        <v>1.03</v>
      </c>
      <c r="I18" t="n">
        <v>0</v>
      </c>
      <c r="J18" t="n">
        <v>0</v>
      </c>
      <c r="K18" t="n">
        <v>0</v>
      </c>
    </row>
    <row r="19">
      <c r="B19" t="n">
        <v>0</v>
      </c>
      <c r="C19" t="n">
        <v>15</v>
      </c>
      <c r="E19" t="inlineStr">
        <is>
          <t>Bus DB 4</t>
        </is>
      </c>
      <c r="F19" t="n">
        <v>380</v>
      </c>
      <c r="G19" t="n">
        <v>1</v>
      </c>
      <c r="H19" t="n">
        <v>1.03</v>
      </c>
      <c r="I19" t="n">
        <v>0</v>
      </c>
      <c r="J19" t="n">
        <v>0</v>
      </c>
      <c r="K19" t="n">
        <v>0</v>
      </c>
    </row>
    <row r="20">
      <c r="B20" t="n">
        <v>0</v>
      </c>
      <c r="C20" t="n">
        <v>16</v>
      </c>
      <c r="E20" t="inlineStr">
        <is>
          <t>Single Busbar</t>
        </is>
      </c>
      <c r="F20" t="n">
        <v>110</v>
      </c>
      <c r="G20" t="n">
        <v>1</v>
      </c>
      <c r="H20" t="n">
        <v>1.032019666051183</v>
      </c>
      <c r="I20" t="n">
        <v>-1.850095360116807</v>
      </c>
      <c r="J20" t="n">
        <v>0</v>
      </c>
      <c r="K20" t="n">
        <v>0</v>
      </c>
    </row>
    <row r="21">
      <c r="B21" t="n">
        <v>0</v>
      </c>
      <c r="C21" t="n">
        <v>17</v>
      </c>
      <c r="E21" t="inlineStr">
        <is>
          <t>Bus SB 1</t>
        </is>
      </c>
      <c r="F21" t="n">
        <v>110</v>
      </c>
      <c r="G21" t="n">
        <v>1</v>
      </c>
      <c r="H21" t="n">
        <v>1.032019666051183</v>
      </c>
      <c r="I21" t="n">
        <v>-1.850095360116807</v>
      </c>
      <c r="J21" t="n">
        <v>0</v>
      </c>
      <c r="K21" t="n">
        <v>0</v>
      </c>
    </row>
    <row r="22">
      <c r="B22" t="n">
        <v>0</v>
      </c>
      <c r="C22" t="n">
        <v>18</v>
      </c>
      <c r="E22" t="inlineStr">
        <is>
          <t>Bus SB 2</t>
        </is>
      </c>
      <c r="F22" t="n">
        <v>110</v>
      </c>
      <c r="G22" t="n">
        <v>1</v>
      </c>
      <c r="H22" t="n">
        <v>1.032019666051183</v>
      </c>
      <c r="I22" t="n">
        <v>-1.850095360116807</v>
      </c>
      <c r="J22" t="n">
        <v>0</v>
      </c>
      <c r="K22" t="n">
        <v>0</v>
      </c>
    </row>
    <row r="23">
      <c r="B23" t="n">
        <v>0</v>
      </c>
      <c r="C23" t="n">
        <v>19</v>
      </c>
      <c r="E23" t="inlineStr">
        <is>
          <t>Bus SB 3</t>
        </is>
      </c>
      <c r="F23" t="n">
        <v>110</v>
      </c>
      <c r="G23" t="n">
        <v>1</v>
      </c>
      <c r="H23" t="n">
        <v>1.032019666051183</v>
      </c>
      <c r="I23" t="n">
        <v>-1.850095360116807</v>
      </c>
      <c r="J23" t="n">
        <v>0</v>
      </c>
      <c r="K23" t="n">
        <v>0</v>
      </c>
    </row>
    <row r="24">
      <c r="B24" t="n">
        <v>0</v>
      </c>
      <c r="C24" t="n">
        <v>20</v>
      </c>
      <c r="E24" t="inlineStr">
        <is>
          <t>Bus SB 4</t>
        </is>
      </c>
      <c r="F24" t="n">
        <v>110</v>
      </c>
      <c r="G24" t="n">
        <v>1</v>
      </c>
      <c r="H24" t="n">
        <v>1.032019666051183</v>
      </c>
      <c r="I24" t="n">
        <v>-1.850095360116807</v>
      </c>
      <c r="J24" t="n">
        <v>38</v>
      </c>
      <c r="K24" t="n">
        <v>6</v>
      </c>
    </row>
    <row r="25">
      <c r="B25" t="n">
        <v>0</v>
      </c>
      <c r="C25" t="n">
        <v>21</v>
      </c>
      <c r="E25" t="inlineStr">
        <is>
          <t>Bus SB 5</t>
        </is>
      </c>
      <c r="F25" t="n">
        <v>110</v>
      </c>
      <c r="G25" t="n">
        <v>1</v>
      </c>
      <c r="H25" t="n">
        <v>1.032019666051183</v>
      </c>
      <c r="I25" t="n">
        <v>-1.850095360116807</v>
      </c>
      <c r="J25" t="n">
        <v>-3.855489874409088</v>
      </c>
      <c r="K25" t="n">
        <v>-4</v>
      </c>
    </row>
    <row r="26">
      <c r="B26" t="n">
        <v>0</v>
      </c>
      <c r="C26" t="n">
        <v>22</v>
      </c>
      <c r="E26" t="inlineStr">
        <is>
          <t>Bus SB T1.1</t>
        </is>
      </c>
      <c r="F26" t="n">
        <v>110</v>
      </c>
      <c r="G26" t="n">
        <v>1</v>
      </c>
      <c r="H26" t="n">
        <v>1.032019666051183</v>
      </c>
      <c r="I26" t="n">
        <v>-1.850095360116807</v>
      </c>
      <c r="J26" t="n">
        <v>0</v>
      </c>
      <c r="K26" t="n">
        <v>0</v>
      </c>
    </row>
    <row r="27">
      <c r="B27" t="n">
        <v>0</v>
      </c>
      <c r="C27" t="n">
        <v>23</v>
      </c>
      <c r="E27" t="inlineStr">
        <is>
          <t>Bus SB T1.2</t>
        </is>
      </c>
      <c r="F27" t="n">
        <v>110</v>
      </c>
      <c r="G27" t="n">
        <v>1</v>
      </c>
      <c r="H27" t="n">
        <v>1.032019666051183</v>
      </c>
      <c r="I27" t="n">
        <v>-1.850095360116807</v>
      </c>
      <c r="J27" t="n">
        <v>0</v>
      </c>
      <c r="K27" t="n">
        <v>0</v>
      </c>
    </row>
    <row r="28">
      <c r="B28" t="n">
        <v>0</v>
      </c>
      <c r="C28" t="n">
        <v>24</v>
      </c>
      <c r="E28" t="inlineStr">
        <is>
          <t>Bus SB T2.1</t>
        </is>
      </c>
      <c r="F28" t="n">
        <v>110</v>
      </c>
      <c r="G28" t="n">
        <v>1</v>
      </c>
      <c r="H28" t="n">
        <v>1.032019666051183</v>
      </c>
      <c r="I28" t="n">
        <v>-1.850095360116807</v>
      </c>
      <c r="J28" t="n">
        <v>0</v>
      </c>
      <c r="K28" t="n">
        <v>0</v>
      </c>
    </row>
    <row r="29">
      <c r="B29" t="n">
        <v>0</v>
      </c>
      <c r="C29" t="n">
        <v>25</v>
      </c>
      <c r="E29" t="inlineStr">
        <is>
          <t>Bus SB T2.2</t>
        </is>
      </c>
      <c r="F29" t="n">
        <v>110</v>
      </c>
      <c r="G29" t="n">
        <v>1</v>
      </c>
      <c r="H29" t="n">
        <v>1.032019666051183</v>
      </c>
      <c r="I29" t="n">
        <v>-1.850095360116807</v>
      </c>
      <c r="J29" t="n">
        <v>0</v>
      </c>
      <c r="K29" t="n">
        <v>0</v>
      </c>
    </row>
    <row r="30">
      <c r="B30" t="n">
        <v>0</v>
      </c>
      <c r="C30" t="n">
        <v>26</v>
      </c>
      <c r="E30" t="inlineStr">
        <is>
          <t>Bus SB T3.1</t>
        </is>
      </c>
      <c r="F30" t="n">
        <v>110</v>
      </c>
      <c r="G30" t="n">
        <v>1</v>
      </c>
      <c r="H30" t="n">
        <v>1.032019666051183</v>
      </c>
      <c r="I30" t="n">
        <v>-1.850095360116807</v>
      </c>
      <c r="J30" t="n">
        <v>0</v>
      </c>
      <c r="K30" t="n">
        <v>0</v>
      </c>
    </row>
    <row r="31">
      <c r="B31" t="n">
        <v>0</v>
      </c>
      <c r="C31" t="n">
        <v>27</v>
      </c>
      <c r="E31" t="inlineStr">
        <is>
          <t>Bus SB T3.2</t>
        </is>
      </c>
      <c r="F31" t="n">
        <v>110</v>
      </c>
      <c r="G31" t="n">
        <v>1</v>
      </c>
      <c r="H31" t="n">
        <v>1.032019666051183</v>
      </c>
      <c r="I31" t="n">
        <v>-1.850095360116807</v>
      </c>
      <c r="J31" t="n">
        <v>0</v>
      </c>
      <c r="K31" t="n">
        <v>0</v>
      </c>
    </row>
    <row r="32">
      <c r="B32" t="n">
        <v>0</v>
      </c>
      <c r="C32" t="n">
        <v>28</v>
      </c>
      <c r="E32" t="inlineStr">
        <is>
          <t>Bus SB T4.1</t>
        </is>
      </c>
      <c r="F32" t="n">
        <v>110</v>
      </c>
      <c r="G32" t="n">
        <v>1</v>
      </c>
      <c r="H32" t="n">
        <v>1.032019666051183</v>
      </c>
      <c r="I32" t="n">
        <v>-1.850095360116807</v>
      </c>
      <c r="J32" t="n">
        <v>0</v>
      </c>
      <c r="K32" t="n">
        <v>0</v>
      </c>
    </row>
    <row r="33">
      <c r="B33" t="n">
        <v>0</v>
      </c>
      <c r="C33" t="n">
        <v>29</v>
      </c>
      <c r="E33" t="inlineStr">
        <is>
          <t>Bus SB T4.2</t>
        </is>
      </c>
      <c r="F33" t="n">
        <v>110</v>
      </c>
      <c r="G33" t="n">
        <v>1</v>
      </c>
      <c r="H33" t="n">
        <v>1.032019666051183</v>
      </c>
      <c r="I33" t="n">
        <v>-1.850095360116807</v>
      </c>
      <c r="J33" t="n">
        <v>0</v>
      </c>
      <c r="K33" t="n">
        <v>0</v>
      </c>
    </row>
    <row r="34">
      <c r="B34" t="n">
        <v>0</v>
      </c>
      <c r="C34" t="n">
        <v>30</v>
      </c>
      <c r="E34" t="inlineStr">
        <is>
          <t>Bus SB T5.1</t>
        </is>
      </c>
      <c r="F34" t="n">
        <v>110</v>
      </c>
      <c r="G34" t="n">
        <v>1</v>
      </c>
      <c r="H34" t="n">
        <v>1.032019666051183</v>
      </c>
      <c r="I34" t="n">
        <v>-1.850095360116807</v>
      </c>
      <c r="J34" t="n">
        <v>0</v>
      </c>
      <c r="K34" t="n">
        <v>0</v>
      </c>
    </row>
    <row r="35">
      <c r="B35" t="n">
        <v>0</v>
      </c>
      <c r="C35" t="n">
        <v>31</v>
      </c>
      <c r="E35" t="inlineStr">
        <is>
          <t>Bus SB T5.2</t>
        </is>
      </c>
      <c r="F35" t="n">
        <v>110</v>
      </c>
      <c r="G35" t="n">
        <v>1</v>
      </c>
      <c r="H35" t="n">
        <v>1.032019666051183</v>
      </c>
      <c r="I35" t="n">
        <v>-1.850095360116807</v>
      </c>
      <c r="J35" t="n">
        <v>0</v>
      </c>
      <c r="K35" t="n">
        <v>0</v>
      </c>
    </row>
    <row r="36">
      <c r="B36" t="n">
        <v>0</v>
      </c>
      <c r="C36" t="n">
        <v>32</v>
      </c>
      <c r="E36" t="inlineStr">
        <is>
          <t>Bus HV1</t>
        </is>
      </c>
      <c r="F36" t="n">
        <v>110</v>
      </c>
      <c r="G36" t="n">
        <v>1</v>
      </c>
      <c r="H36" t="n">
        <v>1.022030985098645</v>
      </c>
      <c r="I36" t="n">
        <v>-3.826561734103377</v>
      </c>
      <c r="J36" t="n">
        <v>51.35963509662439</v>
      </c>
      <c r="K36" t="n">
        <v>-1.249042896316197</v>
      </c>
    </row>
    <row r="37">
      <c r="B37" t="n">
        <v>0</v>
      </c>
      <c r="C37" t="n">
        <v>33</v>
      </c>
      <c r="E37" t="inlineStr">
        <is>
          <t>Bus HV2</t>
        </is>
      </c>
      <c r="F37" t="n">
        <v>110</v>
      </c>
      <c r="G37" t="n">
        <v>1</v>
      </c>
      <c r="H37" t="n">
        <v>1.015676617541017</v>
      </c>
      <c r="I37" t="n">
        <v>-4.310051618397017</v>
      </c>
      <c r="J37" t="n">
        <v>38</v>
      </c>
      <c r="K37" t="n">
        <v>6</v>
      </c>
    </row>
    <row r="38">
      <c r="B38" t="n">
        <v>0</v>
      </c>
      <c r="C38" t="n">
        <v>34</v>
      </c>
      <c r="E38" t="inlineStr">
        <is>
          <t>Bus HV3</t>
        </is>
      </c>
      <c r="F38" t="n">
        <v>110</v>
      </c>
      <c r="G38" t="n">
        <v>1</v>
      </c>
      <c r="H38" t="n">
        <v>1.025334654750941</v>
      </c>
      <c r="I38" t="n">
        <v>-3.520635346876163</v>
      </c>
      <c r="J38" t="n">
        <v>64.90098988668139</v>
      </c>
      <c r="K38" t="n">
        <v>-7.081910866329032</v>
      </c>
    </row>
    <row r="39">
      <c r="B39" t="n">
        <v>0</v>
      </c>
      <c r="C39" t="n">
        <v>35</v>
      </c>
      <c r="E39" t="inlineStr">
        <is>
          <t>Bus HV4</t>
        </is>
      </c>
      <c r="F39" t="n">
        <v>110</v>
      </c>
      <c r="G39" t="n">
        <v>1</v>
      </c>
      <c r="H39" t="n">
        <v>1.03</v>
      </c>
      <c r="I39" t="n">
        <v>-3.123215662227869</v>
      </c>
      <c r="J39" t="n">
        <v>-62</v>
      </c>
      <c r="K39" t="n">
        <v>-12.06780230998993</v>
      </c>
    </row>
    <row r="40">
      <c r="B40" t="n">
        <v>0</v>
      </c>
      <c r="C40" t="n">
        <v>36</v>
      </c>
      <c r="E40" t="inlineStr">
        <is>
          <t>Bus MV0 20kV</t>
        </is>
      </c>
      <c r="F40" t="n">
        <v>20</v>
      </c>
      <c r="G40" t="n">
        <v>1</v>
      </c>
      <c r="H40" t="n">
        <v>1.00347909469409</v>
      </c>
      <c r="I40" t="n">
        <v>-33.08578253130972</v>
      </c>
      <c r="J40" t="n">
        <v>-4.761931559763354</v>
      </c>
      <c r="K40" t="n">
        <v>1</v>
      </c>
    </row>
    <row r="41">
      <c r="B41" t="n">
        <v>0</v>
      </c>
      <c r="C41" t="n">
        <v>37</v>
      </c>
      <c r="E41" t="inlineStr">
        <is>
          <t>Bus MV0</t>
        </is>
      </c>
      <c r="F41" t="n">
        <v>10</v>
      </c>
      <c r="G41" t="n">
        <v>1</v>
      </c>
      <c r="H41" t="n">
        <v>1.003004958363834</v>
      </c>
      <c r="I41" t="n">
        <v>-34.98939384364832</v>
      </c>
      <c r="J41" t="n">
        <v>5.5</v>
      </c>
      <c r="K41" t="n">
        <v>1.949999999999999</v>
      </c>
    </row>
    <row r="42">
      <c r="B42" t="n">
        <v>0</v>
      </c>
      <c r="C42" t="n">
        <v>38</v>
      </c>
      <c r="E42" t="inlineStr">
        <is>
          <t>Bus MV1</t>
        </is>
      </c>
      <c r="F42" t="n">
        <v>10</v>
      </c>
      <c r="G42" t="n">
        <v>1</v>
      </c>
      <c r="H42" t="n">
        <v>0.999084733105654</v>
      </c>
      <c r="I42" t="n">
        <v>-35.01930852750774</v>
      </c>
      <c r="J42" t="n">
        <v>0.4000000000000057</v>
      </c>
      <c r="K42" t="n">
        <v>0.09999999999999964</v>
      </c>
    </row>
    <row r="43">
      <c r="B43" t="n">
        <v>0</v>
      </c>
      <c r="C43" t="n">
        <v>39</v>
      </c>
      <c r="E43" t="inlineStr">
        <is>
          <t>Bus MV2</t>
        </is>
      </c>
      <c r="F43" t="n">
        <v>10</v>
      </c>
      <c r="G43" t="n">
        <v>1</v>
      </c>
      <c r="H43" t="n">
        <v>0.9962846336976748</v>
      </c>
      <c r="I43" t="n">
        <v>-35.02113253436387</v>
      </c>
      <c r="J43" t="n">
        <v>0.4000000000000057</v>
      </c>
      <c r="K43" t="n">
        <v>0.0600000000000005</v>
      </c>
    </row>
    <row r="44">
      <c r="B44" t="n">
        <v>0</v>
      </c>
      <c r="C44" t="n">
        <v>40</v>
      </c>
      <c r="E44" t="inlineStr">
        <is>
          <t>Bus MV3</t>
        </is>
      </c>
      <c r="F44" t="n">
        <v>10</v>
      </c>
      <c r="G44" t="n">
        <v>1</v>
      </c>
      <c r="H44" t="n">
        <v>0.9945374927528176</v>
      </c>
      <c r="I44" t="n">
        <v>-34.9889671701818</v>
      </c>
      <c r="J44" t="n">
        <v>0.4000000000000057</v>
      </c>
      <c r="K44" t="n">
        <v>0.0600000000000005</v>
      </c>
    </row>
    <row r="45">
      <c r="B45" t="n">
        <v>0</v>
      </c>
      <c r="C45" t="n">
        <v>41</v>
      </c>
      <c r="E45" t="inlineStr">
        <is>
          <t>Bus MV4</t>
        </is>
      </c>
      <c r="F45" t="n">
        <v>10</v>
      </c>
      <c r="G45" t="n">
        <v>1</v>
      </c>
      <c r="H45" t="n">
        <v>0.9938459042640789</v>
      </c>
      <c r="I45" t="n">
        <v>-34.92264799498562</v>
      </c>
      <c r="J45" t="n">
        <v>0</v>
      </c>
      <c r="K45" t="n">
        <v>0</v>
      </c>
    </row>
    <row r="46">
      <c r="B46" t="n">
        <v>0</v>
      </c>
      <c r="C46" t="n">
        <v>42</v>
      </c>
      <c r="E46" t="inlineStr">
        <is>
          <t>Bus MV5</t>
        </is>
      </c>
      <c r="F46" t="n">
        <v>10</v>
      </c>
      <c r="G46" t="n">
        <v>1</v>
      </c>
      <c r="H46" t="n">
        <v>1.013919583869042</v>
      </c>
      <c r="I46" t="n">
        <v>-34.5342869344831</v>
      </c>
      <c r="J46" t="n">
        <v>-1.599999999999994</v>
      </c>
      <c r="K46" t="n">
        <v>-0.03999999999999915</v>
      </c>
    </row>
    <row r="47">
      <c r="B47" t="n">
        <v>0</v>
      </c>
      <c r="C47" t="n">
        <v>43</v>
      </c>
      <c r="E47" t="inlineStr">
        <is>
          <t>Bus MV6</t>
        </is>
      </c>
      <c r="F47" t="n">
        <v>10</v>
      </c>
      <c r="G47" t="n">
        <v>1</v>
      </c>
      <c r="H47" t="n">
        <v>1.010031446998209</v>
      </c>
      <c r="I47" t="n">
        <v>-34.68509092219787</v>
      </c>
      <c r="J47" t="n">
        <v>-0.09999999999999432</v>
      </c>
      <c r="K47" t="n">
        <v>0.0600000000000005</v>
      </c>
    </row>
    <row r="48">
      <c r="B48" t="n">
        <v>0</v>
      </c>
      <c r="C48" t="n">
        <v>44</v>
      </c>
      <c r="E48" t="inlineStr">
        <is>
          <t>Bus MV7</t>
        </is>
      </c>
      <c r="F48" t="n">
        <v>10</v>
      </c>
      <c r="G48" t="n">
        <v>1</v>
      </c>
      <c r="H48" t="n">
        <v>1.005993509117521</v>
      </c>
      <c r="I48" t="n">
        <v>-34.85336285642332</v>
      </c>
      <c r="J48" t="n">
        <v>0.4000000000000057</v>
      </c>
      <c r="K48" t="n">
        <v>0.0600000000000005</v>
      </c>
    </row>
    <row r="49">
      <c r="B49" t="n">
        <v>0</v>
      </c>
      <c r="C49" t="n">
        <v>45</v>
      </c>
      <c r="E49" t="inlineStr">
        <is>
          <t>Bus LV0</t>
        </is>
      </c>
      <c r="F49" t="n">
        <v>0.4</v>
      </c>
      <c r="G49" t="n">
        <v>1</v>
      </c>
      <c r="H49" t="n">
        <v>0.9512829646539585</v>
      </c>
      <c r="I49" t="n">
        <v>176.2364049866644</v>
      </c>
      <c r="J49" t="n">
        <v>0.09999999999999432</v>
      </c>
      <c r="K49" t="n">
        <v>0.09999999999999964</v>
      </c>
    </row>
    <row r="50">
      <c r="B50" t="n">
        <v>0</v>
      </c>
      <c r="C50" t="n">
        <v>46</v>
      </c>
      <c r="E50" t="inlineStr">
        <is>
          <t>Bus LV1.1</t>
        </is>
      </c>
      <c r="F50" t="n">
        <v>0.4</v>
      </c>
      <c r="G50" t="n">
        <v>1</v>
      </c>
      <c r="H50" t="n">
        <v>0.9513839459494454</v>
      </c>
      <c r="I50" t="n">
        <v>177.4567243302168</v>
      </c>
      <c r="J50" t="n">
        <v>-0.05000000000001137</v>
      </c>
      <c r="K50" t="n">
        <v>0.02999999999999936</v>
      </c>
    </row>
    <row r="51">
      <c r="B51" t="n">
        <v>0</v>
      </c>
      <c r="C51" t="n">
        <v>47</v>
      </c>
      <c r="E51" t="inlineStr">
        <is>
          <t>Bus LV1.2</t>
        </is>
      </c>
      <c r="F51" t="n">
        <v>0.4</v>
      </c>
      <c r="G51" t="n">
        <v>1</v>
      </c>
      <c r="H51" t="n">
        <v>0.9471622098778936</v>
      </c>
      <c r="I51" t="n">
        <v>178.3405423412309</v>
      </c>
      <c r="J51" t="n">
        <v>0.009999999999990905</v>
      </c>
      <c r="K51" t="n">
        <v>0.02999999999999936</v>
      </c>
    </row>
    <row r="52">
      <c r="B52" t="n">
        <v>0</v>
      </c>
      <c r="C52" t="n">
        <v>48</v>
      </c>
      <c r="E52" t="inlineStr">
        <is>
          <t>Bus LV1.3</t>
        </is>
      </c>
      <c r="F52" t="n">
        <v>0.4</v>
      </c>
      <c r="G52" t="n">
        <v>1</v>
      </c>
      <c r="H52" t="n">
        <v>0.9455786714386503</v>
      </c>
      <c r="I52" t="n">
        <v>179.0394539984329</v>
      </c>
      <c r="J52" t="n">
        <v>-0.04000000000002046</v>
      </c>
      <c r="K52" t="n">
        <v>0.02999999999999936</v>
      </c>
    </row>
    <row r="53">
      <c r="B53" t="n">
        <v>0</v>
      </c>
      <c r="C53" t="n">
        <v>49</v>
      </c>
      <c r="E53" t="inlineStr">
        <is>
          <t>Bus LV1.4</t>
        </is>
      </c>
      <c r="F53" t="n">
        <v>0.4</v>
      </c>
      <c r="G53" t="n">
        <v>1</v>
      </c>
      <c r="H53" t="n">
        <v>0.940596680660047</v>
      </c>
      <c r="I53" t="n">
        <v>179.4227463732365</v>
      </c>
      <c r="J53" t="n">
        <v>0.009999999999990905</v>
      </c>
      <c r="K53" t="n">
        <v>0.02999999999999936</v>
      </c>
    </row>
    <row r="54">
      <c r="B54" t="n">
        <v>0</v>
      </c>
      <c r="C54" t="n">
        <v>50</v>
      </c>
      <c r="E54" t="inlineStr">
        <is>
          <t>Bus LV1.5</t>
        </is>
      </c>
      <c r="F54" t="n">
        <v>0.4</v>
      </c>
      <c r="G54" t="n">
        <v>1</v>
      </c>
      <c r="H54" t="n">
        <v>0.9381129752005481</v>
      </c>
      <c r="I54" t="n">
        <v>179.6159183699137</v>
      </c>
      <c r="J54" t="n">
        <v>0.009999999999990905</v>
      </c>
      <c r="K54" t="n">
        <v>0.02999999999999936</v>
      </c>
    </row>
    <row r="55">
      <c r="B55" t="n">
        <v>0</v>
      </c>
      <c r="C55" t="n">
        <v>51</v>
      </c>
      <c r="E55" t="inlineStr">
        <is>
          <t>Bus LV2.1</t>
        </is>
      </c>
      <c r="F55" t="n">
        <v>0.4</v>
      </c>
      <c r="G55" t="n">
        <v>1</v>
      </c>
      <c r="H55" t="n">
        <v>0.9567644764588839</v>
      </c>
      <c r="I55" t="n">
        <v>178.6234233775421</v>
      </c>
      <c r="J55" t="n">
        <v>0.009999999999990905</v>
      </c>
      <c r="K55" t="n">
        <v>0.02999999999999936</v>
      </c>
    </row>
    <row r="56">
      <c r="B56" t="n">
        <v>0</v>
      </c>
      <c r="C56" t="n">
        <v>52</v>
      </c>
      <c r="E56" t="inlineStr">
        <is>
          <t>Bus LV2.2</t>
        </is>
      </c>
      <c r="F56" t="n">
        <v>0.4</v>
      </c>
      <c r="G56" t="n">
        <v>1</v>
      </c>
      <c r="H56" t="n">
        <v>0.9673482323628413</v>
      </c>
      <c r="I56" t="n">
        <v>-179.3056703997733</v>
      </c>
      <c r="J56" t="n">
        <v>0.009999999999990905</v>
      </c>
      <c r="K56" t="n">
        <v>0.02999999999999936</v>
      </c>
    </row>
    <row r="57">
      <c r="B57" t="n">
        <v>0</v>
      </c>
      <c r="C57" t="n">
        <v>53</v>
      </c>
      <c r="E57" t="inlineStr">
        <is>
          <t>Bus LV2.3</t>
        </is>
      </c>
      <c r="F57" t="n">
        <v>0.4</v>
      </c>
      <c r="G57" t="n">
        <v>1</v>
      </c>
      <c r="H57" t="n">
        <v>1.050268327876383</v>
      </c>
      <c r="I57" t="n">
        <v>-173.3475166802017</v>
      </c>
      <c r="J57" t="n">
        <v>-0.04000000000002046</v>
      </c>
      <c r="K57" t="n">
        <v>0.02999999999999936</v>
      </c>
    </row>
    <row r="58">
      <c r="B58" t="n">
        <v>0</v>
      </c>
      <c r="C58" t="n">
        <v>54</v>
      </c>
      <c r="E58" t="inlineStr">
        <is>
          <t>Bus LV2.4</t>
        </is>
      </c>
      <c r="F58" t="n">
        <v>0.4</v>
      </c>
      <c r="G58" t="n">
        <v>1</v>
      </c>
      <c r="H58" t="n">
        <v>1.093453349385595</v>
      </c>
      <c r="I58" t="n">
        <v>-170.7158299450062</v>
      </c>
      <c r="J58" t="n">
        <v>-0.04000000000002046</v>
      </c>
      <c r="K58" t="n">
        <v>0.02999999999999936</v>
      </c>
    </row>
    <row r="59">
      <c r="B59" t="n">
        <v>0</v>
      </c>
      <c r="C59" t="n">
        <v>55</v>
      </c>
      <c r="E59" t="inlineStr">
        <is>
          <t>Bus LV2.2.1</t>
        </is>
      </c>
      <c r="F59" t="n">
        <v>0.4</v>
      </c>
      <c r="G59" t="n">
        <v>1</v>
      </c>
      <c r="H59" t="n">
        <v>1.050268327876383</v>
      </c>
      <c r="I59" t="n">
        <v>-173.3475166802017</v>
      </c>
      <c r="J59" t="n">
        <v>-0.04000000000002046</v>
      </c>
      <c r="K59" t="n">
        <v>0.02999999999999936</v>
      </c>
    </row>
    <row r="60">
      <c r="B60" t="n">
        <v>0</v>
      </c>
      <c r="C60" t="n">
        <v>56</v>
      </c>
      <c r="E60" t="inlineStr">
        <is>
          <t>Bus LV2.2.2</t>
        </is>
      </c>
      <c r="F60" t="n">
        <v>0.4</v>
      </c>
      <c r="G60" t="n">
        <v>1</v>
      </c>
      <c r="H60" t="n">
        <v>1.093453349385595</v>
      </c>
      <c r="I60" t="n">
        <v>-170.7158299450062</v>
      </c>
      <c r="J60" t="n">
        <v>-0.04000000000002046</v>
      </c>
      <c r="K60" t="n">
        <v>0.02999999999999936</v>
      </c>
    </row>
    <row r="61">
      <c r="B61" t="n">
        <v>1</v>
      </c>
      <c r="C61" t="n">
        <v>0</v>
      </c>
      <c r="E61" t="inlineStr">
        <is>
          <t>Double Busbar 1</t>
        </is>
      </c>
      <c r="F61" t="n">
        <v>380</v>
      </c>
      <c r="G61" t="n">
        <v>1</v>
      </c>
      <c r="H61" t="n">
        <v>1.03</v>
      </c>
      <c r="I61" t="n">
        <v>0</v>
      </c>
      <c r="J61" t="n">
        <v>-128.6457315929805</v>
      </c>
      <c r="K61" t="n">
        <v>6.688057460693495</v>
      </c>
    </row>
    <row r="62">
      <c r="B62" t="n">
        <v>1</v>
      </c>
      <c r="C62" t="n">
        <v>1</v>
      </c>
      <c r="E62" t="inlineStr">
        <is>
          <t>Double Busbar 2</t>
        </is>
      </c>
      <c r="F62" t="n">
        <v>380</v>
      </c>
      <c r="G62" t="n">
        <v>1</v>
      </c>
      <c r="H62" t="n">
        <v>1.03</v>
      </c>
      <c r="I62" t="n">
        <v>0</v>
      </c>
      <c r="J62" t="n">
        <v>0</v>
      </c>
      <c r="K62" t="n">
        <v>0</v>
      </c>
    </row>
    <row r="63">
      <c r="B63" t="n">
        <v>1</v>
      </c>
      <c r="C63" t="n">
        <v>2</v>
      </c>
      <c r="E63" t="inlineStr">
        <is>
          <t>Bus DB T0</t>
        </is>
      </c>
      <c r="F63" t="n">
        <v>380</v>
      </c>
      <c r="G63" t="n">
        <v>1</v>
      </c>
      <c r="H63" t="n">
        <v>1.03</v>
      </c>
      <c r="I63" t="n">
        <v>0</v>
      </c>
      <c r="J63" t="n">
        <v>0</v>
      </c>
      <c r="K63" t="n">
        <v>0</v>
      </c>
    </row>
    <row r="64">
      <c r="B64" t="n">
        <v>1</v>
      </c>
      <c r="C64" t="n">
        <v>3</v>
      </c>
      <c r="E64" t="inlineStr">
        <is>
          <t>Bus DB T1</t>
        </is>
      </c>
      <c r="F64" t="n">
        <v>380</v>
      </c>
      <c r="G64" t="n">
        <v>1</v>
      </c>
      <c r="H64" t="n">
        <v>1.03</v>
      </c>
      <c r="I64" t="n">
        <v>0</v>
      </c>
      <c r="J64" t="n">
        <v>0</v>
      </c>
      <c r="K64" t="n">
        <v>0</v>
      </c>
    </row>
    <row r="65">
      <c r="B65" t="n">
        <v>1</v>
      </c>
      <c r="C65" t="n">
        <v>4</v>
      </c>
      <c r="E65" t="inlineStr">
        <is>
          <t>Bus DB T2</t>
        </is>
      </c>
      <c r="F65" t="n">
        <v>380</v>
      </c>
      <c r="G65" t="n">
        <v>1</v>
      </c>
      <c r="H65" t="n">
        <v>1.03</v>
      </c>
      <c r="I65" t="n">
        <v>0</v>
      </c>
      <c r="J65" t="n">
        <v>0</v>
      </c>
      <c r="K65" t="n">
        <v>0</v>
      </c>
    </row>
    <row r="66">
      <c r="B66" t="n">
        <v>1</v>
      </c>
      <c r="C66" t="n">
        <v>5</v>
      </c>
      <c r="E66" t="inlineStr">
        <is>
          <t>Bus DB T3</t>
        </is>
      </c>
      <c r="F66" t="n">
        <v>380</v>
      </c>
      <c r="G66" t="n">
        <v>1</v>
      </c>
      <c r="H66" t="n">
        <v>1.03</v>
      </c>
      <c r="I66" t="n">
        <v>0</v>
      </c>
      <c r="J66" t="n">
        <v>0</v>
      </c>
      <c r="K66" t="n">
        <v>0</v>
      </c>
    </row>
    <row r="67">
      <c r="B67" t="n">
        <v>1</v>
      </c>
      <c r="C67" t="n">
        <v>6</v>
      </c>
      <c r="E67" t="inlineStr">
        <is>
          <t>Bus DB T4</t>
        </is>
      </c>
      <c r="F67" t="n">
        <v>380</v>
      </c>
      <c r="G67" t="n">
        <v>1</v>
      </c>
      <c r="H67" t="n">
        <v>1.03</v>
      </c>
      <c r="I67" t="n">
        <v>0</v>
      </c>
      <c r="J67" t="n">
        <v>0</v>
      </c>
      <c r="K67" t="n">
        <v>0</v>
      </c>
    </row>
    <row r="68">
      <c r="B68" t="n">
        <v>1</v>
      </c>
      <c r="C68" t="n">
        <v>7</v>
      </c>
      <c r="E68" t="inlineStr">
        <is>
          <t>Bus DB T5</t>
        </is>
      </c>
      <c r="F68" t="n">
        <v>380</v>
      </c>
      <c r="G68" t="n">
        <v>1</v>
      </c>
      <c r="H68" t="n">
        <v>1.03</v>
      </c>
      <c r="I68" t="n">
        <v>0</v>
      </c>
      <c r="J68" t="n">
        <v>0</v>
      </c>
      <c r="K68" t="n">
        <v>0</v>
      </c>
    </row>
    <row r="69">
      <c r="B69" t="n">
        <v>1</v>
      </c>
      <c r="C69" t="n">
        <v>8</v>
      </c>
      <c r="E69" t="inlineStr">
        <is>
          <t>Bus DB T6</t>
        </is>
      </c>
      <c r="F69" t="n">
        <v>380</v>
      </c>
      <c r="G69" t="n">
        <v>1</v>
      </c>
      <c r="H69" t="n">
        <v>1.03</v>
      </c>
      <c r="I69" t="n">
        <v>0</v>
      </c>
      <c r="J69" t="n">
        <v>0</v>
      </c>
      <c r="K69" t="n">
        <v>0</v>
      </c>
    </row>
    <row r="70">
      <c r="B70" t="n">
        <v>1</v>
      </c>
      <c r="C70" t="n">
        <v>9</v>
      </c>
      <c r="E70" t="inlineStr">
        <is>
          <t>Bus DB T7</t>
        </is>
      </c>
      <c r="F70" t="n">
        <v>380</v>
      </c>
      <c r="G70" t="n">
        <v>1</v>
      </c>
      <c r="H70" t="n">
        <v>1.03</v>
      </c>
      <c r="I70" t="n">
        <v>0</v>
      </c>
      <c r="J70" t="n">
        <v>0</v>
      </c>
      <c r="K70" t="n">
        <v>0</v>
      </c>
    </row>
    <row r="71">
      <c r="B71" t="n">
        <v>1</v>
      </c>
      <c r="C71" t="n">
        <v>10</v>
      </c>
      <c r="E71" t="inlineStr">
        <is>
          <t>Bus DB T8</t>
        </is>
      </c>
      <c r="F71" t="n">
        <v>380</v>
      </c>
      <c r="G71" t="n">
        <v>1</v>
      </c>
      <c r="H71" t="n">
        <v>1.03</v>
      </c>
      <c r="I71" t="n">
        <v>0</v>
      </c>
      <c r="J71" t="n">
        <v>0</v>
      </c>
      <c r="K71" t="n">
        <v>0</v>
      </c>
    </row>
    <row r="72">
      <c r="B72" t="n">
        <v>1</v>
      </c>
      <c r="C72" t="n">
        <v>11</v>
      </c>
      <c r="E72" t="inlineStr">
        <is>
          <t>Bus DB T9</t>
        </is>
      </c>
      <c r="F72" t="n">
        <v>380</v>
      </c>
      <c r="G72" t="n">
        <v>1</v>
      </c>
      <c r="H72" t="n">
        <v>1.03</v>
      </c>
      <c r="I72" t="n">
        <v>0</v>
      </c>
      <c r="J72" t="n">
        <v>0</v>
      </c>
      <c r="K72" t="n">
        <v>0</v>
      </c>
    </row>
    <row r="73">
      <c r="B73" t="n">
        <v>1</v>
      </c>
      <c r="C73" t="n">
        <v>12</v>
      </c>
      <c r="E73" t="inlineStr">
        <is>
          <t>Bus DB 1</t>
        </is>
      </c>
      <c r="F73" t="n">
        <v>380</v>
      </c>
      <c r="G73" t="n">
        <v>1</v>
      </c>
      <c r="H73" t="n">
        <v>1.03</v>
      </c>
      <c r="I73" t="n">
        <v>0</v>
      </c>
      <c r="J73" t="n">
        <v>0</v>
      </c>
      <c r="K73" t="n">
        <v>0</v>
      </c>
    </row>
    <row r="74">
      <c r="B74" t="n">
        <v>1</v>
      </c>
      <c r="C74" t="n">
        <v>13</v>
      </c>
      <c r="E74" t="inlineStr">
        <is>
          <t>Bus DB 2</t>
        </is>
      </c>
      <c r="F74" t="n">
        <v>380</v>
      </c>
      <c r="G74" t="n">
        <v>1</v>
      </c>
      <c r="H74" t="n">
        <v>1.03</v>
      </c>
      <c r="I74" t="n">
        <v>0</v>
      </c>
      <c r="J74" t="n">
        <v>0</v>
      </c>
      <c r="K74" t="n">
        <v>0</v>
      </c>
    </row>
    <row r="75">
      <c r="B75" t="n">
        <v>1</v>
      </c>
      <c r="C75" t="n">
        <v>14</v>
      </c>
      <c r="E75" t="inlineStr">
        <is>
          <t>Bus DB 3</t>
        </is>
      </c>
      <c r="F75" t="n">
        <v>380</v>
      </c>
      <c r="G75" t="n">
        <v>1</v>
      </c>
      <c r="H75" t="n">
        <v>1.03</v>
      </c>
      <c r="I75" t="n">
        <v>0</v>
      </c>
      <c r="J75" t="n">
        <v>0</v>
      </c>
      <c r="K75" t="n">
        <v>0</v>
      </c>
    </row>
    <row r="76">
      <c r="B76" t="n">
        <v>1</v>
      </c>
      <c r="C76" t="n">
        <v>15</v>
      </c>
      <c r="E76" t="inlineStr">
        <is>
          <t>Bus DB 4</t>
        </is>
      </c>
      <c r="F76" t="n">
        <v>380</v>
      </c>
      <c r="G76" t="n">
        <v>1</v>
      </c>
      <c r="H76" t="n">
        <v>1.03</v>
      </c>
      <c r="I76" t="n">
        <v>0</v>
      </c>
      <c r="J76" t="n">
        <v>0</v>
      </c>
      <c r="K76" t="n">
        <v>0</v>
      </c>
    </row>
    <row r="77">
      <c r="B77" t="n">
        <v>1</v>
      </c>
      <c r="C77" t="n">
        <v>16</v>
      </c>
      <c r="E77" t="inlineStr">
        <is>
          <t>Single Busbar</t>
        </is>
      </c>
      <c r="F77" t="n">
        <v>110</v>
      </c>
      <c r="G77" t="n">
        <v>1</v>
      </c>
      <c r="H77" t="n">
        <v>1.032019666051183</v>
      </c>
      <c r="I77" t="n">
        <v>-1.850095360116807</v>
      </c>
      <c r="J77" t="n">
        <v>0</v>
      </c>
      <c r="K77" t="n">
        <v>0</v>
      </c>
    </row>
    <row r="78">
      <c r="B78" t="n">
        <v>1</v>
      </c>
      <c r="C78" t="n">
        <v>17</v>
      </c>
      <c r="E78" t="inlineStr">
        <is>
          <t>Bus SB 1</t>
        </is>
      </c>
      <c r="F78" t="n">
        <v>110</v>
      </c>
      <c r="G78" t="n">
        <v>1</v>
      </c>
      <c r="H78" t="n">
        <v>1.032019666051183</v>
      </c>
      <c r="I78" t="n">
        <v>-1.850095360116807</v>
      </c>
      <c r="J78" t="n">
        <v>0</v>
      </c>
      <c r="K78" t="n">
        <v>0</v>
      </c>
    </row>
    <row r="79">
      <c r="B79" t="n">
        <v>1</v>
      </c>
      <c r="C79" t="n">
        <v>18</v>
      </c>
      <c r="E79" t="inlineStr">
        <is>
          <t>Bus SB 2</t>
        </is>
      </c>
      <c r="F79" t="n">
        <v>110</v>
      </c>
      <c r="G79" t="n">
        <v>1</v>
      </c>
      <c r="H79" t="n">
        <v>1.032019666051183</v>
      </c>
      <c r="I79" t="n">
        <v>-1.850095360116807</v>
      </c>
      <c r="J79" t="n">
        <v>0</v>
      </c>
      <c r="K79" t="n">
        <v>0</v>
      </c>
    </row>
    <row r="80">
      <c r="B80" t="n">
        <v>1</v>
      </c>
      <c r="C80" t="n">
        <v>19</v>
      </c>
      <c r="E80" t="inlineStr">
        <is>
          <t>Bus SB 3</t>
        </is>
      </c>
      <c r="F80" t="n">
        <v>110</v>
      </c>
      <c r="G80" t="n">
        <v>1</v>
      </c>
      <c r="H80" t="n">
        <v>1.032019666051183</v>
      </c>
      <c r="I80" t="n">
        <v>-1.850095360116807</v>
      </c>
      <c r="J80" t="n">
        <v>0</v>
      </c>
      <c r="K80" t="n">
        <v>0</v>
      </c>
    </row>
    <row r="81">
      <c r="B81" t="n">
        <v>1</v>
      </c>
      <c r="C81" t="n">
        <v>20</v>
      </c>
      <c r="E81" t="inlineStr">
        <is>
          <t>Bus SB 4</t>
        </is>
      </c>
      <c r="F81" t="n">
        <v>110</v>
      </c>
      <c r="G81" t="n">
        <v>1</v>
      </c>
      <c r="H81" t="n">
        <v>1.032019666051183</v>
      </c>
      <c r="I81" t="n">
        <v>-1.850095360116807</v>
      </c>
      <c r="J81" t="n">
        <v>38</v>
      </c>
      <c r="K81" t="n">
        <v>6</v>
      </c>
    </row>
    <row r="82">
      <c r="B82" t="n">
        <v>1</v>
      </c>
      <c r="C82" t="n">
        <v>21</v>
      </c>
      <c r="E82" t="inlineStr">
        <is>
          <t>Bus SB 5</t>
        </is>
      </c>
      <c r="F82" t="n">
        <v>110</v>
      </c>
      <c r="G82" t="n">
        <v>1</v>
      </c>
      <c r="H82" t="n">
        <v>1.032019666051183</v>
      </c>
      <c r="I82" t="n">
        <v>-1.850095360116807</v>
      </c>
      <c r="J82" t="n">
        <v>-3.855489874409088</v>
      </c>
      <c r="K82" t="n">
        <v>-4</v>
      </c>
    </row>
    <row r="83">
      <c r="B83" t="n">
        <v>1</v>
      </c>
      <c r="C83" t="n">
        <v>22</v>
      </c>
      <c r="E83" t="inlineStr">
        <is>
          <t>Bus SB T1.1</t>
        </is>
      </c>
      <c r="F83" t="n">
        <v>110</v>
      </c>
      <c r="G83" t="n">
        <v>1</v>
      </c>
      <c r="H83" t="n">
        <v>1.032019666051183</v>
      </c>
      <c r="I83" t="n">
        <v>-1.850095360116807</v>
      </c>
      <c r="J83" t="n">
        <v>0</v>
      </c>
      <c r="K83" t="n">
        <v>0</v>
      </c>
    </row>
    <row r="84">
      <c r="B84" t="n">
        <v>1</v>
      </c>
      <c r="C84" t="n">
        <v>23</v>
      </c>
      <c r="E84" t="inlineStr">
        <is>
          <t>Bus SB T1.2</t>
        </is>
      </c>
      <c r="F84" t="n">
        <v>110</v>
      </c>
      <c r="G84" t="n">
        <v>1</v>
      </c>
      <c r="H84" t="n">
        <v>1.032019666051183</v>
      </c>
      <c r="I84" t="n">
        <v>-1.850095360116807</v>
      </c>
      <c r="J84" t="n">
        <v>0</v>
      </c>
      <c r="K84" t="n">
        <v>0</v>
      </c>
    </row>
    <row r="85">
      <c r="B85" t="n">
        <v>1</v>
      </c>
      <c r="C85" t="n">
        <v>24</v>
      </c>
      <c r="E85" t="inlineStr">
        <is>
          <t>Bus SB T2.1</t>
        </is>
      </c>
      <c r="F85" t="n">
        <v>110</v>
      </c>
      <c r="G85" t="n">
        <v>1</v>
      </c>
      <c r="H85" t="n">
        <v>1.032019666051183</v>
      </c>
      <c r="I85" t="n">
        <v>-1.850095360116807</v>
      </c>
      <c r="J85" t="n">
        <v>0</v>
      </c>
      <c r="K85" t="n">
        <v>0</v>
      </c>
    </row>
    <row r="86">
      <c r="B86" t="n">
        <v>1</v>
      </c>
      <c r="C86" t="n">
        <v>25</v>
      </c>
      <c r="E86" t="inlineStr">
        <is>
          <t>Bus SB T2.2</t>
        </is>
      </c>
      <c r="F86" t="n">
        <v>110</v>
      </c>
      <c r="G86" t="n">
        <v>1</v>
      </c>
      <c r="H86" t="n">
        <v>1.032019666051183</v>
      </c>
      <c r="I86" t="n">
        <v>-1.850095360116807</v>
      </c>
      <c r="J86" t="n">
        <v>0</v>
      </c>
      <c r="K86" t="n">
        <v>0</v>
      </c>
    </row>
    <row r="87">
      <c r="B87" t="n">
        <v>1</v>
      </c>
      <c r="C87" t="n">
        <v>26</v>
      </c>
      <c r="E87" t="inlineStr">
        <is>
          <t>Bus SB T3.1</t>
        </is>
      </c>
      <c r="F87" t="n">
        <v>110</v>
      </c>
      <c r="G87" t="n">
        <v>1</v>
      </c>
      <c r="H87" t="n">
        <v>1.032019666051183</v>
      </c>
      <c r="I87" t="n">
        <v>-1.850095360116807</v>
      </c>
      <c r="J87" t="n">
        <v>0</v>
      </c>
      <c r="K87" t="n">
        <v>0</v>
      </c>
    </row>
    <row r="88">
      <c r="B88" t="n">
        <v>1</v>
      </c>
      <c r="C88" t="n">
        <v>27</v>
      </c>
      <c r="E88" t="inlineStr">
        <is>
          <t>Bus SB T3.2</t>
        </is>
      </c>
      <c r="F88" t="n">
        <v>110</v>
      </c>
      <c r="G88" t="n">
        <v>1</v>
      </c>
      <c r="H88" t="n">
        <v>1.032019666051183</v>
      </c>
      <c r="I88" t="n">
        <v>-1.850095360116807</v>
      </c>
      <c r="J88" t="n">
        <v>0</v>
      </c>
      <c r="K88" t="n">
        <v>0</v>
      </c>
    </row>
    <row r="89">
      <c r="B89" t="n">
        <v>1</v>
      </c>
      <c r="C89" t="n">
        <v>28</v>
      </c>
      <c r="E89" t="inlineStr">
        <is>
          <t>Bus SB T4.1</t>
        </is>
      </c>
      <c r="F89" t="n">
        <v>110</v>
      </c>
      <c r="G89" t="n">
        <v>1</v>
      </c>
      <c r="H89" t="n">
        <v>1.032019666051183</v>
      </c>
      <c r="I89" t="n">
        <v>-1.850095360116807</v>
      </c>
      <c r="J89" t="n">
        <v>0</v>
      </c>
      <c r="K89" t="n">
        <v>0</v>
      </c>
    </row>
    <row r="90">
      <c r="B90" t="n">
        <v>1</v>
      </c>
      <c r="C90" t="n">
        <v>29</v>
      </c>
      <c r="E90" t="inlineStr">
        <is>
          <t>Bus SB T4.2</t>
        </is>
      </c>
      <c r="F90" t="n">
        <v>110</v>
      </c>
      <c r="G90" t="n">
        <v>1</v>
      </c>
      <c r="H90" t="n">
        <v>1.032019666051183</v>
      </c>
      <c r="I90" t="n">
        <v>-1.850095360116807</v>
      </c>
      <c r="J90" t="n">
        <v>0</v>
      </c>
      <c r="K90" t="n">
        <v>0</v>
      </c>
    </row>
    <row r="91">
      <c r="B91" t="n">
        <v>1</v>
      </c>
      <c r="C91" t="n">
        <v>30</v>
      </c>
      <c r="E91" t="inlineStr">
        <is>
          <t>Bus SB T5.1</t>
        </is>
      </c>
      <c r="F91" t="n">
        <v>110</v>
      </c>
      <c r="G91" t="n">
        <v>1</v>
      </c>
      <c r="H91" t="n">
        <v>1.032019666051183</v>
      </c>
      <c r="I91" t="n">
        <v>-1.850095360116807</v>
      </c>
      <c r="J91" t="n">
        <v>0</v>
      </c>
      <c r="K91" t="n">
        <v>0</v>
      </c>
    </row>
    <row r="92">
      <c r="B92" t="n">
        <v>1</v>
      </c>
      <c r="C92" t="n">
        <v>31</v>
      </c>
      <c r="E92" t="inlineStr">
        <is>
          <t>Bus SB T5.2</t>
        </is>
      </c>
      <c r="F92" t="n">
        <v>110</v>
      </c>
      <c r="G92" t="n">
        <v>1</v>
      </c>
      <c r="H92" t="n">
        <v>1.032019666051183</v>
      </c>
      <c r="I92" t="n">
        <v>-1.850095360116807</v>
      </c>
      <c r="J92" t="n">
        <v>0</v>
      </c>
      <c r="K92" t="n">
        <v>0</v>
      </c>
    </row>
    <row r="93">
      <c r="B93" t="n">
        <v>1</v>
      </c>
      <c r="C93" t="n">
        <v>32</v>
      </c>
      <c r="E93" t="inlineStr">
        <is>
          <t>Bus HV1</t>
        </is>
      </c>
      <c r="F93" t="n">
        <v>110</v>
      </c>
      <c r="G93" t="n">
        <v>1</v>
      </c>
      <c r="H93" t="n">
        <v>1.022030985098645</v>
      </c>
      <c r="I93" t="n">
        <v>-3.826561734103377</v>
      </c>
      <c r="J93" t="n">
        <v>51.35963509662439</v>
      </c>
      <c r="K93" t="n">
        <v>-1.249042896316197</v>
      </c>
    </row>
    <row r="94">
      <c r="B94" t="n">
        <v>1</v>
      </c>
      <c r="C94" t="n">
        <v>33</v>
      </c>
      <c r="E94" t="inlineStr">
        <is>
          <t>Bus HV2</t>
        </is>
      </c>
      <c r="F94" t="n">
        <v>110</v>
      </c>
      <c r="G94" t="n">
        <v>1</v>
      </c>
      <c r="H94" t="n">
        <v>1.015676617541017</v>
      </c>
      <c r="I94" t="n">
        <v>-4.310051618397017</v>
      </c>
      <c r="J94" t="n">
        <v>38</v>
      </c>
      <c r="K94" t="n">
        <v>6</v>
      </c>
    </row>
    <row r="95">
      <c r="B95" t="n">
        <v>1</v>
      </c>
      <c r="C95" t="n">
        <v>34</v>
      </c>
      <c r="E95" t="inlineStr">
        <is>
          <t>Bus HV3</t>
        </is>
      </c>
      <c r="F95" t="n">
        <v>110</v>
      </c>
      <c r="G95" t="n">
        <v>1</v>
      </c>
      <c r="H95" t="n">
        <v>1.025334654750941</v>
      </c>
      <c r="I95" t="n">
        <v>-3.520635346876163</v>
      </c>
      <c r="J95" t="n">
        <v>64.90098988668139</v>
      </c>
      <c r="K95" t="n">
        <v>-7.081910866329032</v>
      </c>
    </row>
    <row r="96">
      <c r="B96" t="n">
        <v>1</v>
      </c>
      <c r="C96" t="n">
        <v>35</v>
      </c>
      <c r="E96" t="inlineStr">
        <is>
          <t>Bus HV4</t>
        </is>
      </c>
      <c r="F96" t="n">
        <v>110</v>
      </c>
      <c r="G96" t="n">
        <v>1</v>
      </c>
      <c r="H96" t="n">
        <v>1.03</v>
      </c>
      <c r="I96" t="n">
        <v>-3.123215662227869</v>
      </c>
      <c r="J96" t="n">
        <v>-62</v>
      </c>
      <c r="K96" t="n">
        <v>-12.06780230998993</v>
      </c>
    </row>
    <row r="97">
      <c r="B97" t="n">
        <v>1</v>
      </c>
      <c r="C97" t="n">
        <v>36</v>
      </c>
      <c r="E97" t="inlineStr">
        <is>
          <t>Bus MV0 20kV</t>
        </is>
      </c>
      <c r="F97" t="n">
        <v>20</v>
      </c>
      <c r="G97" t="n">
        <v>1</v>
      </c>
      <c r="H97" t="n">
        <v>1.00347909469409</v>
      </c>
      <c r="I97" t="n">
        <v>-33.08578253130972</v>
      </c>
      <c r="J97" t="n">
        <v>-4.761931559763354</v>
      </c>
      <c r="K97" t="n">
        <v>1</v>
      </c>
    </row>
    <row r="98">
      <c r="B98" t="n">
        <v>1</v>
      </c>
      <c r="C98" t="n">
        <v>37</v>
      </c>
      <c r="E98" t="inlineStr">
        <is>
          <t>Bus MV0</t>
        </is>
      </c>
      <c r="F98" t="n">
        <v>10</v>
      </c>
      <c r="G98" t="n">
        <v>1</v>
      </c>
      <c r="H98" t="n">
        <v>1.003004958363834</v>
      </c>
      <c r="I98" t="n">
        <v>-34.98939384364832</v>
      </c>
      <c r="J98" t="n">
        <v>5.5</v>
      </c>
      <c r="K98" t="n">
        <v>1.949999999999999</v>
      </c>
    </row>
    <row r="99">
      <c r="B99" t="n">
        <v>1</v>
      </c>
      <c r="C99" t="n">
        <v>38</v>
      </c>
      <c r="E99" t="inlineStr">
        <is>
          <t>Bus MV1</t>
        </is>
      </c>
      <c r="F99" t="n">
        <v>10</v>
      </c>
      <c r="G99" t="n">
        <v>1</v>
      </c>
      <c r="H99" t="n">
        <v>0.999084733105654</v>
      </c>
      <c r="I99" t="n">
        <v>-35.01930852750774</v>
      </c>
      <c r="J99" t="n">
        <v>0.4000000000000057</v>
      </c>
      <c r="K99" t="n">
        <v>0.09999999999999964</v>
      </c>
    </row>
    <row r="100">
      <c r="B100" t="n">
        <v>1</v>
      </c>
      <c r="C100" t="n">
        <v>39</v>
      </c>
      <c r="E100" t="inlineStr">
        <is>
          <t>Bus MV2</t>
        </is>
      </c>
      <c r="F100" t="n">
        <v>10</v>
      </c>
      <c r="G100" t="n">
        <v>1</v>
      </c>
      <c r="H100" t="n">
        <v>0.9962846336976748</v>
      </c>
      <c r="I100" t="n">
        <v>-35.02113253436387</v>
      </c>
      <c r="J100" t="n">
        <v>0.4000000000000057</v>
      </c>
      <c r="K100" t="n">
        <v>0.0600000000000005</v>
      </c>
    </row>
    <row r="101">
      <c r="B101" t="n">
        <v>1</v>
      </c>
      <c r="C101" t="n">
        <v>40</v>
      </c>
      <c r="E101" t="inlineStr">
        <is>
          <t>Bus MV3</t>
        </is>
      </c>
      <c r="F101" t="n">
        <v>10</v>
      </c>
      <c r="G101" t="n">
        <v>1</v>
      </c>
      <c r="H101" t="n">
        <v>0.9945374927528176</v>
      </c>
      <c r="I101" t="n">
        <v>-34.9889671701818</v>
      </c>
      <c r="J101" t="n">
        <v>0.4000000000000057</v>
      </c>
      <c r="K101" t="n">
        <v>0.0600000000000005</v>
      </c>
    </row>
    <row r="102">
      <c r="B102" t="n">
        <v>1</v>
      </c>
      <c r="C102" t="n">
        <v>41</v>
      </c>
      <c r="E102" t="inlineStr">
        <is>
          <t>Bus MV4</t>
        </is>
      </c>
      <c r="F102" t="n">
        <v>10</v>
      </c>
      <c r="G102" t="n">
        <v>1</v>
      </c>
      <c r="H102" t="n">
        <v>0.9938459042640789</v>
      </c>
      <c r="I102" t="n">
        <v>-34.92264799498562</v>
      </c>
      <c r="J102" t="n">
        <v>0</v>
      </c>
      <c r="K102" t="n">
        <v>0</v>
      </c>
    </row>
    <row r="103">
      <c r="B103" t="n">
        <v>1</v>
      </c>
      <c r="C103" t="n">
        <v>42</v>
      </c>
      <c r="E103" t="inlineStr">
        <is>
          <t>Bus MV5</t>
        </is>
      </c>
      <c r="F103" t="n">
        <v>10</v>
      </c>
      <c r="G103" t="n">
        <v>1</v>
      </c>
      <c r="H103" t="n">
        <v>1.013919583869042</v>
      </c>
      <c r="I103" t="n">
        <v>-34.5342869344831</v>
      </c>
      <c r="J103" t="n">
        <v>-1.599999999999994</v>
      </c>
      <c r="K103" t="n">
        <v>-0.03999999999999915</v>
      </c>
    </row>
    <row r="104">
      <c r="B104" t="n">
        <v>1</v>
      </c>
      <c r="C104" t="n">
        <v>43</v>
      </c>
      <c r="E104" t="inlineStr">
        <is>
          <t>Bus MV6</t>
        </is>
      </c>
      <c r="F104" t="n">
        <v>10</v>
      </c>
      <c r="G104" t="n">
        <v>1</v>
      </c>
      <c r="H104" t="n">
        <v>1.010031446998209</v>
      </c>
      <c r="I104" t="n">
        <v>-34.68509092219787</v>
      </c>
      <c r="J104" t="n">
        <v>-0.09999999999999432</v>
      </c>
      <c r="K104" t="n">
        <v>0.0600000000000005</v>
      </c>
    </row>
    <row r="105">
      <c r="B105" t="n">
        <v>1</v>
      </c>
      <c r="C105" t="n">
        <v>44</v>
      </c>
      <c r="E105" t="inlineStr">
        <is>
          <t>Bus MV7</t>
        </is>
      </c>
      <c r="F105" t="n">
        <v>10</v>
      </c>
      <c r="G105" t="n">
        <v>1</v>
      </c>
      <c r="H105" t="n">
        <v>1.005993509117521</v>
      </c>
      <c r="I105" t="n">
        <v>-34.85336285642332</v>
      </c>
      <c r="J105" t="n">
        <v>0.4000000000000057</v>
      </c>
      <c r="K105" t="n">
        <v>0.0600000000000005</v>
      </c>
    </row>
    <row r="106">
      <c r="B106" t="n">
        <v>1</v>
      </c>
      <c r="C106" t="n">
        <v>45</v>
      </c>
      <c r="E106" t="inlineStr">
        <is>
          <t>Bus LV0</t>
        </is>
      </c>
      <c r="F106" t="n">
        <v>0.4</v>
      </c>
      <c r="G106" t="n">
        <v>1</v>
      </c>
      <c r="H106" t="n">
        <v>0.9512829646539585</v>
      </c>
      <c r="I106" t="n">
        <v>176.2364049866644</v>
      </c>
      <c r="J106" t="n">
        <v>0.09999999999999432</v>
      </c>
      <c r="K106" t="n">
        <v>0.09999999999999964</v>
      </c>
    </row>
    <row r="107">
      <c r="B107" t="n">
        <v>1</v>
      </c>
      <c r="C107" t="n">
        <v>46</v>
      </c>
      <c r="E107" t="inlineStr">
        <is>
          <t>Bus LV1.1</t>
        </is>
      </c>
      <c r="F107" t="n">
        <v>0.4</v>
      </c>
      <c r="G107" t="n">
        <v>1</v>
      </c>
      <c r="H107" t="n">
        <v>0.9513839459494454</v>
      </c>
      <c r="I107" t="n">
        <v>177.4567243302168</v>
      </c>
      <c r="J107" t="n">
        <v>-0.05000000000001137</v>
      </c>
      <c r="K107" t="n">
        <v>0.02999999999999936</v>
      </c>
    </row>
    <row r="108">
      <c r="B108" t="n">
        <v>1</v>
      </c>
      <c r="C108" t="n">
        <v>47</v>
      </c>
      <c r="E108" t="inlineStr">
        <is>
          <t>Bus LV1.2</t>
        </is>
      </c>
      <c r="F108" t="n">
        <v>0.4</v>
      </c>
      <c r="G108" t="n">
        <v>1</v>
      </c>
      <c r="H108" t="n">
        <v>0.9471622098778936</v>
      </c>
      <c r="I108" t="n">
        <v>178.3405423412309</v>
      </c>
      <c r="J108" t="n">
        <v>0.009999999999990905</v>
      </c>
      <c r="K108" t="n">
        <v>0.02999999999999936</v>
      </c>
    </row>
    <row r="109">
      <c r="B109" t="n">
        <v>1</v>
      </c>
      <c r="C109" t="n">
        <v>48</v>
      </c>
      <c r="E109" t="inlineStr">
        <is>
          <t>Bus LV1.3</t>
        </is>
      </c>
      <c r="F109" t="n">
        <v>0.4</v>
      </c>
      <c r="G109" t="n">
        <v>1</v>
      </c>
      <c r="H109" t="n">
        <v>0.9455786714386503</v>
      </c>
      <c r="I109" t="n">
        <v>179.0394539984329</v>
      </c>
      <c r="J109" t="n">
        <v>-0.04000000000002046</v>
      </c>
      <c r="K109" t="n">
        <v>0.02999999999999936</v>
      </c>
    </row>
    <row r="110">
      <c r="B110" t="n">
        <v>1</v>
      </c>
      <c r="C110" t="n">
        <v>49</v>
      </c>
      <c r="E110" t="inlineStr">
        <is>
          <t>Bus LV1.4</t>
        </is>
      </c>
      <c r="F110" t="n">
        <v>0.4</v>
      </c>
      <c r="G110" t="n">
        <v>1</v>
      </c>
      <c r="H110" t="n">
        <v>0.940596680660047</v>
      </c>
      <c r="I110" t="n">
        <v>179.4227463732365</v>
      </c>
      <c r="J110" t="n">
        <v>0.009999999999990905</v>
      </c>
      <c r="K110" t="n">
        <v>0.02999999999999936</v>
      </c>
    </row>
    <row r="111">
      <c r="B111" t="n">
        <v>1</v>
      </c>
      <c r="C111" t="n">
        <v>50</v>
      </c>
      <c r="E111" t="inlineStr">
        <is>
          <t>Bus LV1.5</t>
        </is>
      </c>
      <c r="F111" t="n">
        <v>0.4</v>
      </c>
      <c r="G111" t="n">
        <v>1</v>
      </c>
      <c r="H111" t="n">
        <v>0.9381129752005481</v>
      </c>
      <c r="I111" t="n">
        <v>179.6159183699137</v>
      </c>
      <c r="J111" t="n">
        <v>0.009999999999990905</v>
      </c>
      <c r="K111" t="n">
        <v>0.02999999999999936</v>
      </c>
    </row>
    <row r="112">
      <c r="B112" t="n">
        <v>1</v>
      </c>
      <c r="C112" t="n">
        <v>51</v>
      </c>
      <c r="E112" t="inlineStr">
        <is>
          <t>Bus LV2.1</t>
        </is>
      </c>
      <c r="F112" t="n">
        <v>0.4</v>
      </c>
      <c r="G112" t="n">
        <v>1</v>
      </c>
      <c r="H112" t="n">
        <v>0.9567644764588839</v>
      </c>
      <c r="I112" t="n">
        <v>178.6234233775421</v>
      </c>
      <c r="J112" t="n">
        <v>0.009999999999990905</v>
      </c>
      <c r="K112" t="n">
        <v>0.02999999999999936</v>
      </c>
    </row>
    <row r="113">
      <c r="B113" t="n">
        <v>1</v>
      </c>
      <c r="C113" t="n">
        <v>52</v>
      </c>
      <c r="E113" t="inlineStr">
        <is>
          <t>Bus LV2.2</t>
        </is>
      </c>
      <c r="F113" t="n">
        <v>0.4</v>
      </c>
      <c r="G113" t="n">
        <v>1</v>
      </c>
      <c r="H113" t="n">
        <v>0.9673482323628413</v>
      </c>
      <c r="I113" t="n">
        <v>-179.3056703997733</v>
      </c>
      <c r="J113" t="n">
        <v>0.009999999999990905</v>
      </c>
      <c r="K113" t="n">
        <v>0.02999999999999936</v>
      </c>
    </row>
    <row r="114">
      <c r="B114" t="n">
        <v>1</v>
      </c>
      <c r="C114" t="n">
        <v>53</v>
      </c>
      <c r="E114" t="inlineStr">
        <is>
          <t>Bus LV2.3</t>
        </is>
      </c>
      <c r="F114" t="n">
        <v>0.4</v>
      </c>
      <c r="G114" t="n">
        <v>1</v>
      </c>
      <c r="H114" t="n">
        <v>1.050268327876383</v>
      </c>
      <c r="I114" t="n">
        <v>-173.3475166802017</v>
      </c>
      <c r="J114" t="n">
        <v>-0.04000000000002046</v>
      </c>
      <c r="K114" t="n">
        <v>0.02999999999999936</v>
      </c>
    </row>
    <row r="115">
      <c r="B115" t="n">
        <v>1</v>
      </c>
      <c r="C115" t="n">
        <v>54</v>
      </c>
      <c r="E115" t="inlineStr">
        <is>
          <t>Bus LV2.4</t>
        </is>
      </c>
      <c r="F115" t="n">
        <v>0.4</v>
      </c>
      <c r="G115" t="n">
        <v>1</v>
      </c>
      <c r="H115" t="n">
        <v>1.093453349385595</v>
      </c>
      <c r="I115" t="n">
        <v>-170.7158299450062</v>
      </c>
      <c r="J115" t="n">
        <v>-0.04000000000002046</v>
      </c>
      <c r="K115" t="n">
        <v>0.02999999999999936</v>
      </c>
    </row>
    <row r="116">
      <c r="B116" t="n">
        <v>1</v>
      </c>
      <c r="C116" t="n">
        <v>55</v>
      </c>
      <c r="E116" t="inlineStr">
        <is>
          <t>Bus LV2.2.1</t>
        </is>
      </c>
      <c r="F116" t="n">
        <v>0.4</v>
      </c>
      <c r="G116" t="n">
        <v>1</v>
      </c>
      <c r="H116" t="n">
        <v>1.050268327876383</v>
      </c>
      <c r="I116" t="n">
        <v>-173.3475166802017</v>
      </c>
      <c r="J116" t="n">
        <v>-0.04000000000002046</v>
      </c>
      <c r="K116" t="n">
        <v>0.02999999999999936</v>
      </c>
    </row>
    <row r="117">
      <c r="B117" t="n">
        <v>1</v>
      </c>
      <c r="C117" t="n">
        <v>56</v>
      </c>
      <c r="E117" t="inlineStr">
        <is>
          <t>Bus LV2.2.2</t>
        </is>
      </c>
      <c r="F117" t="n">
        <v>0.4</v>
      </c>
      <c r="G117" t="n">
        <v>1</v>
      </c>
      <c r="H117" t="n">
        <v>1.093453349385595</v>
      </c>
      <c r="I117" t="n">
        <v>-170.7158299450062</v>
      </c>
      <c r="J117" t="n">
        <v>-0.04000000000002046</v>
      </c>
      <c r="K117" t="n">
        <v>0.02999999999999936</v>
      </c>
    </row>
  </sheetData>
  <mergeCells count="1">
    <mergeCell ref="B2:K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U69"/>
  <sheetViews>
    <sheetView workbookViewId="0">
      <selection activeCell="A1" sqref="A1"/>
    </sheetView>
  </sheetViews>
  <sheetFormatPr baseColWidth="8" defaultRowHeight="14.4"/>
  <cols>
    <col width="10.6640625" customWidth="1" style="14" min="11" max="11"/>
    <col width="11.33203125" customWidth="1" style="14" min="12" max="12"/>
    <col width="11" customWidth="1" style="14" min="13" max="13"/>
    <col width="12.6640625" customWidth="1" style="14" min="15" max="15"/>
    <col width="12.88671875" customWidth="1" style="14" min="16" max="16"/>
    <col width="12" customWidth="1" style="14" min="17" max="17"/>
    <col width="12.88671875" customWidth="1" style="14" min="18" max="18"/>
    <col width="11" bestFit="1" customWidth="1" style="14" min="19" max="19"/>
    <col width="11" bestFit="1" customWidth="1" style="14" min="21" max="21"/>
  </cols>
  <sheetData>
    <row r="2" ht="21" customHeight="1" s="14">
      <c r="B2" s="13" t="inlineStr">
        <is>
          <t>Tranmission and Distribution Lines</t>
        </is>
      </c>
    </row>
    <row r="3" ht="46.5" customHeight="1" s="14" thickBot="1">
      <c r="B3" s="4" t="inlineStr">
        <is>
          <t>Step</t>
        </is>
      </c>
      <c r="C3" s="1" t="inlineStr">
        <is>
          <t>Zone</t>
        </is>
      </c>
      <c r="D3" s="1" t="inlineStr">
        <is>
          <t>Line Index</t>
        </is>
      </c>
      <c r="E3" s="1" t="inlineStr">
        <is>
          <t>Voltage Level [kV]</t>
        </is>
      </c>
      <c r="F3" s="1" t="inlineStr">
        <is>
          <t>Name</t>
        </is>
      </c>
      <c r="G3" s="1" t="inlineStr">
        <is>
          <t>From bus</t>
        </is>
      </c>
      <c r="H3" s="1" t="inlineStr">
        <is>
          <t>To Bus</t>
        </is>
      </c>
      <c r="I3" s="1" t="inlineStr">
        <is>
          <t>In service</t>
        </is>
      </c>
      <c r="J3" s="1" t="inlineStr">
        <is>
          <t>Length [km]</t>
        </is>
      </c>
      <c r="K3" s="1" t="inlineStr">
        <is>
          <t>Maximum Current [kA]</t>
        </is>
      </c>
      <c r="L3" s="1" t="inlineStr">
        <is>
          <t>Maximum Loading [%]</t>
        </is>
      </c>
      <c r="M3" s="1" t="inlineStr">
        <is>
          <t>Number of Lines in Parallel</t>
        </is>
      </c>
      <c r="N3" s="1" t="inlineStr">
        <is>
          <t>Std. Type</t>
        </is>
      </c>
      <c r="O3" s="1" t="inlineStr">
        <is>
          <t>From Bus Act. Power [MW]</t>
        </is>
      </c>
      <c r="P3" s="1" t="inlineStr">
        <is>
          <t>From Bus Raact. Power [MVAr]</t>
        </is>
      </c>
      <c r="Q3" s="1" t="inlineStr">
        <is>
          <t>To Bus Act. Power [MW]</t>
        </is>
      </c>
      <c r="R3" s="1" t="inlineStr">
        <is>
          <t>To Bus Raact. Power [MVAr]</t>
        </is>
      </c>
      <c r="S3" s="1" t="inlineStr">
        <is>
          <t>Losses [MW]</t>
        </is>
      </c>
      <c r="T3" s="3" t="inlineStr">
        <is>
          <t>Losses [MVAr]</t>
        </is>
      </c>
      <c r="U3" s="1" t="inlineStr">
        <is>
          <t>Loading Percent [%]</t>
        </is>
      </c>
    </row>
    <row r="4">
      <c r="B4" s="5" t="n">
        <v>0</v>
      </c>
      <c r="C4" t="inlineStr">
        <is>
          <t>---</t>
        </is>
      </c>
      <c r="D4" t="n">
        <v>0</v>
      </c>
      <c r="E4" t="n">
        <v>110</v>
      </c>
      <c r="F4" t="inlineStr">
        <is>
          <t>HV Line1</t>
        </is>
      </c>
      <c r="G4" t="n">
        <v>18</v>
      </c>
      <c r="H4" t="n">
        <v>32</v>
      </c>
      <c r="I4" t="n">
        <v>1</v>
      </c>
      <c r="J4" t="n">
        <v>30</v>
      </c>
      <c r="K4" t="n">
        <v>0.535</v>
      </c>
      <c r="L4" t="inlineStr">
        <is>
          <t>---</t>
        </is>
      </c>
      <c r="M4" t="n">
        <v>1</v>
      </c>
      <c r="N4" t="inlineStr">
        <is>
          <t>184-AL1/30-ST1A 110.0</t>
        </is>
      </c>
      <c r="O4" t="n">
        <v>35.53082428224597</v>
      </c>
      <c r="P4" t="n">
        <v>-3.462007263664479</v>
      </c>
      <c r="Q4" t="n">
        <v>-35.06600389626899</v>
      </c>
      <c r="R4" t="n">
        <v>3.586958300405501</v>
      </c>
      <c r="S4" t="n">
        <v>0.4648203859769851</v>
      </c>
      <c r="T4" t="n">
        <v>0.124951036741022</v>
      </c>
      <c r="U4" t="n">
        <v>33.93611071180127</v>
      </c>
    </row>
    <row r="5">
      <c r="B5" s="6" t="n">
        <v>0</v>
      </c>
      <c r="C5" t="inlineStr">
        <is>
          <t>---</t>
        </is>
      </c>
      <c r="D5" t="n">
        <v>1</v>
      </c>
      <c r="E5" t="n">
        <v>110</v>
      </c>
      <c r="F5" t="inlineStr">
        <is>
          <t>HV Line2</t>
        </is>
      </c>
      <c r="G5" t="n">
        <v>32</v>
      </c>
      <c r="H5" t="n">
        <v>33</v>
      </c>
      <c r="I5" t="n">
        <v>1</v>
      </c>
      <c r="J5" t="n">
        <v>20</v>
      </c>
      <c r="K5" t="n">
        <v>0.535</v>
      </c>
      <c r="L5" t="inlineStr">
        <is>
          <t>---</t>
        </is>
      </c>
      <c r="M5" t="n">
        <v>1</v>
      </c>
      <c r="N5" t="inlineStr">
        <is>
          <t>184-AL1/30-ST1A 110.0</t>
        </is>
      </c>
      <c r="O5" t="n">
        <v>14.83953036034683</v>
      </c>
      <c r="P5" t="n">
        <v>3.700976147676725</v>
      </c>
      <c r="Q5" t="n">
        <v>-14.78070842790515</v>
      </c>
      <c r="R5" t="n">
        <v>-4.245712541872835</v>
      </c>
      <c r="S5" t="n">
        <v>0.05882193244168832</v>
      </c>
      <c r="T5" t="n">
        <v>-0.5447363941961099</v>
      </c>
      <c r="U5" t="n">
        <v>14.85418454545852</v>
      </c>
    </row>
    <row r="6">
      <c r="B6" t="n">
        <v>0</v>
      </c>
      <c r="C6" t="inlineStr">
        <is>
          <t>---</t>
        </is>
      </c>
      <c r="D6" t="n">
        <v>2</v>
      </c>
      <c r="E6" t="n">
        <v>110</v>
      </c>
      <c r="F6" t="inlineStr">
        <is>
          <t>HV Line3</t>
        </is>
      </c>
      <c r="G6" t="n">
        <v>33</v>
      </c>
      <c r="H6" t="n">
        <v>35</v>
      </c>
      <c r="I6" t="n">
        <v>1</v>
      </c>
      <c r="J6" t="n">
        <v>30</v>
      </c>
      <c r="K6" t="n">
        <v>0.535</v>
      </c>
      <c r="L6" t="inlineStr">
        <is>
          <t>---</t>
        </is>
      </c>
      <c r="M6" t="n">
        <v>1</v>
      </c>
      <c r="N6" t="inlineStr">
        <is>
          <t>184-AL1/30-ST1A 110.0</t>
        </is>
      </c>
      <c r="O6" t="n">
        <v>-23.84360702065141</v>
      </c>
      <c r="P6" t="n">
        <v>-5.595909978656673</v>
      </c>
      <c r="Q6" t="n">
        <v>24.06800123344398</v>
      </c>
      <c r="R6" t="n">
        <v>5.117287012674935</v>
      </c>
      <c r="S6" t="n">
        <v>0.2243942127925713</v>
      </c>
      <c r="T6" t="n">
        <v>-0.4786229659817378</v>
      </c>
      <c r="U6" t="n">
        <v>23.65659286362562</v>
      </c>
    </row>
    <row r="7">
      <c r="B7" t="n">
        <v>0</v>
      </c>
      <c r="C7" t="inlineStr">
        <is>
          <t>---</t>
        </is>
      </c>
      <c r="D7" t="n">
        <v>3</v>
      </c>
      <c r="E7" t="n">
        <v>110</v>
      </c>
      <c r="F7" t="inlineStr">
        <is>
          <t>HV Line4</t>
        </is>
      </c>
      <c r="G7" t="n">
        <v>32</v>
      </c>
      <c r="H7" t="n">
        <v>35</v>
      </c>
      <c r="I7" t="n">
        <v>1</v>
      </c>
      <c r="J7" t="n">
        <v>15</v>
      </c>
      <c r="K7" t="n">
        <v>0.535</v>
      </c>
      <c r="L7" t="inlineStr">
        <is>
          <t>---</t>
        </is>
      </c>
      <c r="M7" t="n">
        <v>1</v>
      </c>
      <c r="N7" t="inlineStr">
        <is>
          <t>184-AL1/30-ST1A 110.0</t>
        </is>
      </c>
      <c r="O7" t="n">
        <v>-28.11156893616772</v>
      </c>
      <c r="P7" t="n">
        <v>-5.486195404832149</v>
      </c>
      <c r="Q7" t="n">
        <v>28.2639985179799</v>
      </c>
      <c r="R7" t="n">
        <v>5.34607321828413</v>
      </c>
      <c r="S7" t="n">
        <v>0.1524295818121821</v>
      </c>
      <c r="T7" t="n">
        <v>-0.1401221865480187</v>
      </c>
      <c r="U7" t="n">
        <v>27.49354386854159</v>
      </c>
    </row>
    <row r="8">
      <c r="B8" t="n">
        <v>0</v>
      </c>
      <c r="C8" t="inlineStr">
        <is>
          <t>---</t>
        </is>
      </c>
      <c r="D8" t="n">
        <v>4</v>
      </c>
      <c r="E8" t="n">
        <v>110</v>
      </c>
      <c r="F8" t="inlineStr">
        <is>
          <t>HV Line5</t>
        </is>
      </c>
      <c r="G8" t="n">
        <v>34</v>
      </c>
      <c r="H8" t="n">
        <v>35</v>
      </c>
      <c r="I8" t="n">
        <v>1</v>
      </c>
      <c r="J8" t="n">
        <v>25</v>
      </c>
      <c r="K8" t="n">
        <v>0.535</v>
      </c>
      <c r="L8" t="inlineStr">
        <is>
          <t>---</t>
        </is>
      </c>
      <c r="M8" t="n">
        <v>1</v>
      </c>
      <c r="N8" t="inlineStr">
        <is>
          <t>184-AL1/30-ST1A 110.0</t>
        </is>
      </c>
      <c r="O8" t="n">
        <v>-9.638119311151483</v>
      </c>
      <c r="P8" t="n">
        <v>-2.411573336773333</v>
      </c>
      <c r="Q8" t="n">
        <v>9.668000248601311</v>
      </c>
      <c r="R8" t="n">
        <v>1.604442046592009</v>
      </c>
      <c r="S8" t="n">
        <v>0.02988093744982834</v>
      </c>
      <c r="T8" t="n">
        <v>-0.8071312901813248</v>
      </c>
      <c r="U8" t="n">
        <v>9.50617294310767</v>
      </c>
    </row>
    <row r="9">
      <c r="B9" t="n">
        <v>0</v>
      </c>
      <c r="C9" t="inlineStr">
        <is>
          <t>---</t>
        </is>
      </c>
      <c r="D9" t="n">
        <v>5</v>
      </c>
      <c r="E9" t="n">
        <v>110</v>
      </c>
      <c r="F9" t="inlineStr">
        <is>
          <t>HV Line6</t>
        </is>
      </c>
      <c r="G9" t="n">
        <v>19</v>
      </c>
      <c r="H9" t="n">
        <v>34</v>
      </c>
      <c r="I9" t="n">
        <v>1</v>
      </c>
      <c r="J9" t="n">
        <v>30</v>
      </c>
      <c r="K9" t="n">
        <v>0.535</v>
      </c>
      <c r="L9" t="inlineStr">
        <is>
          <t>---</t>
        </is>
      </c>
      <c r="M9" t="n">
        <v>2</v>
      </c>
      <c r="N9" t="inlineStr">
        <is>
          <t>184-AL1/30-ST1A 110.0</t>
        </is>
      </c>
      <c r="O9" t="n">
        <v>58.93911345553651</v>
      </c>
      <c r="P9" t="n">
        <v>-9.397096828904443</v>
      </c>
      <c r="Q9" t="n">
        <v>-58.29122654905883</v>
      </c>
      <c r="R9" t="n">
        <v>8.922823760018128</v>
      </c>
      <c r="S9" t="n">
        <v>0.6478869064776802</v>
      </c>
      <c r="T9" t="n">
        <v>-0.4742730688863155</v>
      </c>
      <c r="U9" t="n">
        <v>28.36805009836281</v>
      </c>
    </row>
    <row r="10">
      <c r="B10" t="n">
        <v>0</v>
      </c>
      <c r="C10" t="inlineStr">
        <is>
          <t>---</t>
        </is>
      </c>
      <c r="D10" t="n">
        <v>6</v>
      </c>
      <c r="E10" t="n">
        <v>10</v>
      </c>
      <c r="F10" t="inlineStr">
        <is>
          <t>MV Line1</t>
        </is>
      </c>
      <c r="G10" t="n">
        <v>37</v>
      </c>
      <c r="H10" t="n">
        <v>38</v>
      </c>
      <c r="I10" t="n">
        <v>1</v>
      </c>
      <c r="J10" t="n">
        <v>1.5</v>
      </c>
      <c r="K10" t="n">
        <v>0.362</v>
      </c>
      <c r="L10" t="inlineStr">
        <is>
          <t>---</t>
        </is>
      </c>
      <c r="M10" t="n">
        <v>1</v>
      </c>
      <c r="N10" t="inlineStr">
        <is>
          <t>NA2XS2Y 1x185 RM/25 12/20 kV</t>
        </is>
      </c>
      <c r="O10" t="n">
        <v>1.168541908414142</v>
      </c>
      <c r="P10" t="n">
        <v>0.6260720332554708</v>
      </c>
      <c r="Q10" t="n">
        <v>-1.164303492695946</v>
      </c>
      <c r="R10" t="n">
        <v>-0.6358837112266233</v>
      </c>
      <c r="S10" t="n">
        <v>0.004238415718196054</v>
      </c>
      <c r="T10" t="n">
        <v>-0.009811677971152566</v>
      </c>
      <c r="U10" t="n">
        <v>21.17769712243579</v>
      </c>
    </row>
    <row r="11">
      <c r="B11" t="n">
        <v>0</v>
      </c>
      <c r="C11" t="inlineStr">
        <is>
          <t>---</t>
        </is>
      </c>
      <c r="D11" t="n">
        <v>7</v>
      </c>
      <c r="E11" t="n">
        <v>10</v>
      </c>
      <c r="F11" t="inlineStr">
        <is>
          <t>MV Line2</t>
        </is>
      </c>
      <c r="G11" t="n">
        <v>38</v>
      </c>
      <c r="H11" t="n">
        <v>39</v>
      </c>
      <c r="I11" t="n">
        <v>1</v>
      </c>
      <c r="J11" t="n">
        <v>1.5</v>
      </c>
      <c r="K11" t="n">
        <v>0.362</v>
      </c>
      <c r="L11" t="inlineStr">
        <is>
          <t>---</t>
        </is>
      </c>
      <c r="M11" t="n">
        <v>1</v>
      </c>
      <c r="N11" t="inlineStr">
        <is>
          <t>NA2XS2Y 1x185 RM/25 12/20 kV</t>
        </is>
      </c>
      <c r="O11" t="n">
        <v>0.7643034926978812</v>
      </c>
      <c r="P11" t="n">
        <v>0.5358837112257777</v>
      </c>
      <c r="Q11" t="n">
        <v>-0.7621786218062534</v>
      </c>
      <c r="R11" t="n">
        <v>-0.5471448942176746</v>
      </c>
      <c r="S11" t="n">
        <v>0.002124870891627828</v>
      </c>
      <c r="T11" t="n">
        <v>-0.01126118299189693</v>
      </c>
      <c r="U11" t="n">
        <v>15.0196122735407</v>
      </c>
    </row>
    <row r="12">
      <c r="B12" t="n">
        <v>0</v>
      </c>
      <c r="C12" t="inlineStr">
        <is>
          <t>---</t>
        </is>
      </c>
      <c r="D12" t="n">
        <v>8</v>
      </c>
      <c r="E12" t="n">
        <v>10</v>
      </c>
      <c r="F12" t="inlineStr">
        <is>
          <t>MV Line3</t>
        </is>
      </c>
      <c r="G12" t="n">
        <v>39</v>
      </c>
      <c r="H12" t="n">
        <v>40</v>
      </c>
      <c r="I12" t="n">
        <v>1</v>
      </c>
      <c r="J12" t="n">
        <v>1.5</v>
      </c>
      <c r="K12" t="n">
        <v>0.362</v>
      </c>
      <c r="L12" t="inlineStr">
        <is>
          <t>---</t>
        </is>
      </c>
      <c r="M12" t="n">
        <v>1</v>
      </c>
      <c r="N12" t="inlineStr">
        <is>
          <t>NA2XS2Y 1x185 RM/25 12/20 kV</t>
        </is>
      </c>
      <c r="O12" t="n">
        <v>0.3621786218083775</v>
      </c>
      <c r="P12" t="n">
        <v>0.487144894216447</v>
      </c>
      <c r="Q12" t="n">
        <v>-0.3612668505336402</v>
      </c>
      <c r="R12" t="n">
        <v>-0.4992293336058845</v>
      </c>
      <c r="S12" t="n">
        <v>0.0009117712747373496</v>
      </c>
      <c r="T12" t="n">
        <v>-0.01208443938943748</v>
      </c>
      <c r="U12" t="n">
        <v>9.882228935229556</v>
      </c>
    </row>
    <row r="13">
      <c r="B13" t="n">
        <v>0</v>
      </c>
      <c r="C13" t="inlineStr">
        <is>
          <t>---</t>
        </is>
      </c>
      <c r="D13" t="n">
        <v>9</v>
      </c>
      <c r="E13" t="n">
        <v>10</v>
      </c>
      <c r="F13" t="inlineStr">
        <is>
          <t>MV Line4</t>
        </is>
      </c>
      <c r="G13" t="n">
        <v>40</v>
      </c>
      <c r="H13" t="n">
        <v>41</v>
      </c>
      <c r="I13" t="n">
        <v>1</v>
      </c>
      <c r="J13" t="n">
        <v>1.5</v>
      </c>
      <c r="K13" t="n">
        <v>0.362</v>
      </c>
      <c r="L13" t="inlineStr">
        <is>
          <t>---</t>
        </is>
      </c>
      <c r="M13" t="n">
        <v>1</v>
      </c>
      <c r="N13" t="inlineStr">
        <is>
          <t>NA2XS2Y 1x185 RM/25 12/20 kV</t>
        </is>
      </c>
      <c r="O13" t="n">
        <v>-0.03873314946417955</v>
      </c>
      <c r="P13" t="n">
        <v>0.439229333604612</v>
      </c>
      <c r="Q13" t="n">
        <v>0.03922159721835797</v>
      </c>
      <c r="R13" t="n">
        <v>-0.4515901866160694</v>
      </c>
      <c r="S13" t="n">
        <v>0.0004884477541784171</v>
      </c>
      <c r="T13" t="n">
        <v>-0.0123608530114574</v>
      </c>
      <c r="U13" t="n">
        <v>7.274248044878709</v>
      </c>
    </row>
    <row r="14">
      <c r="B14" t="n">
        <v>0</v>
      </c>
      <c r="C14" t="inlineStr">
        <is>
          <t>---</t>
        </is>
      </c>
      <c r="D14" t="n">
        <v>10</v>
      </c>
      <c r="E14" t="n">
        <v>10</v>
      </c>
      <c r="F14" t="inlineStr">
        <is>
          <t>MV Line5</t>
        </is>
      </c>
      <c r="G14" t="n">
        <v>41</v>
      </c>
      <c r="H14" t="n">
        <v>42</v>
      </c>
      <c r="I14" t="n">
        <v>1</v>
      </c>
      <c r="J14" t="n">
        <v>1.5</v>
      </c>
      <c r="K14" t="n">
        <v>0.362</v>
      </c>
      <c r="L14" t="inlineStr">
        <is>
          <t>---</t>
        </is>
      </c>
      <c r="M14" t="n">
        <v>1</v>
      </c>
      <c r="N14" t="inlineStr">
        <is>
          <t>NA2XS2Y 1x185 RM/25 12/20 kV</t>
        </is>
      </c>
      <c r="O14" t="n">
        <v>9.869896089483021e-08</v>
      </c>
      <c r="P14" t="n">
        <v>-0.01270703817608917</v>
      </c>
      <c r="Q14" t="n">
        <v>3.234197642597787e-14</v>
      </c>
      <c r="R14" t="n">
        <v>4.632057155286373e-14</v>
      </c>
      <c r="S14" t="n">
        <v>9.869899323680663e-08</v>
      </c>
      <c r="T14" t="n">
        <v>-0.01270703817604285</v>
      </c>
      <c r="U14" t="n">
        <v>0.2039182448816685</v>
      </c>
    </row>
    <row r="15">
      <c r="B15" t="n">
        <v>0</v>
      </c>
      <c r="C15" t="inlineStr">
        <is>
          <t>---</t>
        </is>
      </c>
      <c r="D15" t="n">
        <v>11</v>
      </c>
      <c r="E15" t="n">
        <v>10</v>
      </c>
      <c r="F15" t="inlineStr">
        <is>
          <t>MV Line6</t>
        </is>
      </c>
      <c r="G15" t="n">
        <v>42</v>
      </c>
      <c r="H15" t="n">
        <v>43</v>
      </c>
      <c r="I15" t="n">
        <v>1</v>
      </c>
      <c r="J15" t="n">
        <v>1.5</v>
      </c>
      <c r="K15" t="n">
        <v>0.362</v>
      </c>
      <c r="L15" t="inlineStr">
        <is>
          <t>---</t>
        </is>
      </c>
      <c r="M15" t="n">
        <v>1</v>
      </c>
      <c r="N15" t="inlineStr">
        <is>
          <t>NA2XS2Y 1x185 RM/25 12/20 kV</t>
        </is>
      </c>
      <c r="O15" t="n">
        <v>1.599999999991522</v>
      </c>
      <c r="P15" t="n">
        <v>0.04000000000609616</v>
      </c>
      <c r="Q15" t="n">
        <v>-1.593981080706671</v>
      </c>
      <c r="R15" t="n">
        <v>-0.04880084402874707</v>
      </c>
      <c r="S15" t="n">
        <v>0.006018919284851432</v>
      </c>
      <c r="T15" t="n">
        <v>-0.008800844022650911</v>
      </c>
      <c r="U15" t="n">
        <v>25.18155298432787</v>
      </c>
    </row>
    <row r="16">
      <c r="B16" t="n">
        <v>0</v>
      </c>
      <c r="C16" t="inlineStr">
        <is>
          <t>---</t>
        </is>
      </c>
      <c r="D16" t="n">
        <v>12</v>
      </c>
      <c r="E16" t="n">
        <v>10</v>
      </c>
      <c r="F16" t="inlineStr">
        <is>
          <t>MV Line7</t>
        </is>
      </c>
      <c r="G16" t="n">
        <v>43</v>
      </c>
      <c r="H16" t="n">
        <v>44</v>
      </c>
      <c r="I16" t="n">
        <v>1</v>
      </c>
      <c r="J16" t="n">
        <v>1.5</v>
      </c>
      <c r="K16" t="n">
        <v>0.362</v>
      </c>
      <c r="L16" t="inlineStr">
        <is>
          <t>---</t>
        </is>
      </c>
      <c r="M16" t="n">
        <v>1</v>
      </c>
      <c r="N16" t="inlineStr">
        <is>
          <t>NA2XS2Y 1x185 RM/25 12/20 kV</t>
        </is>
      </c>
      <c r="O16" t="n">
        <v>1.693981080705698</v>
      </c>
      <c r="P16" t="n">
        <v>-0.01119915597023957</v>
      </c>
      <c r="Q16" t="n">
        <v>-1.687187985375347</v>
      </c>
      <c r="R16" t="n">
        <v>0.003063894715707449</v>
      </c>
      <c r="S16" t="n">
        <v>0.006793095330350774</v>
      </c>
      <c r="T16" t="n">
        <v>-0.008135261254532122</v>
      </c>
      <c r="U16" t="n">
        <v>26.74939431634612</v>
      </c>
    </row>
    <row r="17">
      <c r="B17" t="n">
        <v>0</v>
      </c>
      <c r="C17" t="inlineStr">
        <is>
          <t>---</t>
        </is>
      </c>
      <c r="D17" t="n">
        <v>13</v>
      </c>
      <c r="E17" t="n">
        <v>10</v>
      </c>
      <c r="F17" t="inlineStr">
        <is>
          <t>MV Line8</t>
        </is>
      </c>
      <c r="G17" t="n">
        <v>37</v>
      </c>
      <c r="H17" t="n">
        <v>44</v>
      </c>
      <c r="I17" t="n">
        <v>1</v>
      </c>
      <c r="J17" t="n">
        <v>1.5</v>
      </c>
      <c r="K17" t="n">
        <v>0.362</v>
      </c>
      <c r="L17" t="inlineStr">
        <is>
          <t>---</t>
        </is>
      </c>
      <c r="M17" t="n">
        <v>1</v>
      </c>
      <c r="N17" t="inlineStr">
        <is>
          <t>NA2XS2Y 1x185 RM/25 12/20 kV</t>
        </is>
      </c>
      <c r="O17" t="n">
        <v>-1.283226589163548</v>
      </c>
      <c r="P17" t="n">
        <v>0.05296179858413053</v>
      </c>
      <c r="Q17" t="n">
        <v>1.287187985377293</v>
      </c>
      <c r="R17" t="n">
        <v>-0.06306389471652274</v>
      </c>
      <c r="S17" t="n">
        <v>0.003961396213744139</v>
      </c>
      <c r="T17" t="n">
        <v>-0.01010209613239221</v>
      </c>
      <c r="U17" t="n">
        <v>20.43140390635181</v>
      </c>
    </row>
    <row r="18">
      <c r="B18" t="n">
        <v>0</v>
      </c>
      <c r="C18" t="inlineStr">
        <is>
          <t>---</t>
        </is>
      </c>
      <c r="D18" t="n">
        <v>14</v>
      </c>
      <c r="E18" t="n">
        <v>0.4</v>
      </c>
      <c r="F18" t="inlineStr">
        <is>
          <t>LV Line1.1</t>
        </is>
      </c>
      <c r="G18" t="n">
        <v>45</v>
      </c>
      <c r="H18" t="n">
        <v>46</v>
      </c>
      <c r="I18" t="n">
        <v>1</v>
      </c>
      <c r="J18" t="n">
        <v>0.08</v>
      </c>
      <c r="K18" t="n">
        <v>0.242</v>
      </c>
      <c r="L18" t="inlineStr">
        <is>
          <t>---</t>
        </is>
      </c>
      <c r="M18" t="n">
        <v>1</v>
      </c>
      <c r="N18" t="inlineStr">
        <is>
          <t>NAYY 4x120 SE</t>
        </is>
      </c>
      <c r="O18" t="n">
        <v>-0.05321842085934766</v>
      </c>
      <c r="P18" t="n">
        <v>0.1524064789453607</v>
      </c>
      <c r="Q18" t="n">
        <v>0.05645815113067428</v>
      </c>
      <c r="R18" t="n">
        <v>-0.1512555356407383</v>
      </c>
      <c r="S18" t="n">
        <v>0.00323973027132661</v>
      </c>
      <c r="T18" t="n">
        <v>0.001150943304622482</v>
      </c>
      <c r="U18" t="n">
        <v>101.2146533041845</v>
      </c>
    </row>
    <row r="19">
      <c r="B19" t="n">
        <v>0</v>
      </c>
      <c r="C19" t="inlineStr">
        <is>
          <t>---</t>
        </is>
      </c>
      <c r="D19" t="n">
        <v>15</v>
      </c>
      <c r="E19" t="n">
        <v>0.4</v>
      </c>
      <c r="F19" t="inlineStr">
        <is>
          <t>LV Line1.2</t>
        </is>
      </c>
      <c r="G19" t="n">
        <v>46</v>
      </c>
      <c r="H19" t="n">
        <v>47</v>
      </c>
      <c r="I19" t="n">
        <v>1</v>
      </c>
      <c r="J19" t="n">
        <v>0.08</v>
      </c>
      <c r="K19" t="n">
        <v>0.242</v>
      </c>
      <c r="L19" t="inlineStr">
        <is>
          <t>---</t>
        </is>
      </c>
      <c r="M19" t="n">
        <v>1</v>
      </c>
      <c r="N19" t="inlineStr">
        <is>
          <t>NAYY 4x120 SE</t>
        </is>
      </c>
      <c r="O19" t="n">
        <v>-0.006458151130987739</v>
      </c>
      <c r="P19" t="n">
        <v>0.1212555356413979</v>
      </c>
      <c r="Q19" t="n">
        <v>0.008290793338156636</v>
      </c>
      <c r="R19" t="n">
        <v>-0.1206048861626523</v>
      </c>
      <c r="S19" t="n">
        <v>0.001832642207168896</v>
      </c>
      <c r="T19" t="n">
        <v>0.0006506494787455602</v>
      </c>
      <c r="U19" t="n">
        <v>76.12517482889285</v>
      </c>
    </row>
    <row r="20">
      <c r="B20" t="n">
        <v>0</v>
      </c>
      <c r="C20" t="inlineStr">
        <is>
          <t>---</t>
        </is>
      </c>
      <c r="D20" t="n">
        <v>16</v>
      </c>
      <c r="E20" t="n">
        <v>0.4</v>
      </c>
      <c r="F20" t="inlineStr">
        <is>
          <t>LV Line1.3</t>
        </is>
      </c>
      <c r="G20" t="n">
        <v>47</v>
      </c>
      <c r="H20" t="n">
        <v>48</v>
      </c>
      <c r="I20" t="n">
        <v>1</v>
      </c>
      <c r="J20" t="n">
        <v>0.08</v>
      </c>
      <c r="K20" t="n">
        <v>0.242</v>
      </c>
      <c r="L20" t="inlineStr">
        <is>
          <t>---</t>
        </is>
      </c>
      <c r="M20" t="n">
        <v>1</v>
      </c>
      <c r="N20" t="inlineStr">
        <is>
          <t>NAYY 4x120 SE</t>
        </is>
      </c>
      <c r="O20" t="n">
        <v>-0.0182907933381709</v>
      </c>
      <c r="P20" t="n">
        <v>0.09060488616307105</v>
      </c>
      <c r="Q20" t="n">
        <v>0.01936221194084035</v>
      </c>
      <c r="R20" t="n">
        <v>-0.09022488812051119</v>
      </c>
      <c r="S20" t="n">
        <v>0.00107141860266945</v>
      </c>
      <c r="T20" t="n">
        <v>0.0003799980425598648</v>
      </c>
      <c r="U20" t="n">
        <v>58.20623780655234</v>
      </c>
    </row>
    <row r="21">
      <c r="B21" t="n">
        <v>0</v>
      </c>
      <c r="C21" t="inlineStr">
        <is>
          <t>---</t>
        </is>
      </c>
      <c r="D21" t="n">
        <v>17</v>
      </c>
      <c r="E21" t="n">
        <v>0.4</v>
      </c>
      <c r="F21" t="inlineStr">
        <is>
          <t>LV Line1.4</t>
        </is>
      </c>
      <c r="G21" t="n">
        <v>48</v>
      </c>
      <c r="H21" t="n">
        <v>49</v>
      </c>
      <c r="I21" t="n">
        <v>1</v>
      </c>
      <c r="J21" t="n">
        <v>0.08</v>
      </c>
      <c r="K21" t="n">
        <v>0.242</v>
      </c>
      <c r="L21" t="inlineStr">
        <is>
          <t>---</t>
        </is>
      </c>
      <c r="M21" t="n">
        <v>1</v>
      </c>
      <c r="N21" t="inlineStr">
        <is>
          <t>NAYY 4x120 SE</t>
        </is>
      </c>
      <c r="O21" t="n">
        <v>0.02063778805884566</v>
      </c>
      <c r="P21" t="n">
        <v>0.06022488812116294</v>
      </c>
      <c r="Q21" t="n">
        <v>-0.02012782919815207</v>
      </c>
      <c r="R21" t="n">
        <v>-0.06004451363023263</v>
      </c>
      <c r="S21" t="n">
        <v>0.0005099588606935941</v>
      </c>
      <c r="T21" t="n">
        <v>0.0001803744909303143</v>
      </c>
      <c r="U21" t="n">
        <v>40.15673352962173</v>
      </c>
    </row>
    <row r="22">
      <c r="B22" t="n">
        <v>0</v>
      </c>
      <c r="C22" t="inlineStr">
        <is>
          <t>---</t>
        </is>
      </c>
      <c r="D22" t="n">
        <v>18</v>
      </c>
      <c r="E22" t="n">
        <v>0.4</v>
      </c>
      <c r="F22" t="inlineStr">
        <is>
          <t>LV Line1.6</t>
        </is>
      </c>
      <c r="G22" t="n">
        <v>49</v>
      </c>
      <c r="H22" t="n">
        <v>50</v>
      </c>
      <c r="I22" t="n">
        <v>1</v>
      </c>
      <c r="J22" t="n">
        <v>0.08</v>
      </c>
      <c r="K22" t="n">
        <v>0.242</v>
      </c>
      <c r="L22" t="inlineStr">
        <is>
          <t>---</t>
        </is>
      </c>
      <c r="M22" t="n">
        <v>1</v>
      </c>
      <c r="N22" t="inlineStr">
        <is>
          <t>NAYY 4x120 SE</t>
        </is>
      </c>
      <c r="O22" t="n">
        <v>0.01012782919809298</v>
      </c>
      <c r="P22" t="n">
        <v>0.03004451363068197</v>
      </c>
      <c r="Q22" t="n">
        <v>-0.01000000000006691</v>
      </c>
      <c r="R22" t="n">
        <v>-0.02999999999952871</v>
      </c>
      <c r="S22" t="n">
        <v>0.0001278291980260759</v>
      </c>
      <c r="T22" t="n">
        <v>4.451363115325763e-05</v>
      </c>
      <c r="U22" t="n">
        <v>20.10522198221736</v>
      </c>
    </row>
    <row r="23">
      <c r="B23" t="n">
        <v>0</v>
      </c>
      <c r="C23" t="inlineStr">
        <is>
          <t>---</t>
        </is>
      </c>
      <c r="D23" t="n">
        <v>19</v>
      </c>
      <c r="E23" t="n">
        <v>0.4</v>
      </c>
      <c r="F23" t="inlineStr">
        <is>
          <t>LV Line2.1</t>
        </is>
      </c>
      <c r="G23" t="n">
        <v>45</v>
      </c>
      <c r="H23" t="n">
        <v>51</v>
      </c>
      <c r="I23" t="n">
        <v>1</v>
      </c>
      <c r="J23" t="n">
        <v>0.12</v>
      </c>
      <c r="K23" t="n">
        <v>0.242</v>
      </c>
      <c r="L23" t="inlineStr">
        <is>
          <t>---</t>
        </is>
      </c>
      <c r="M23" t="n">
        <v>1</v>
      </c>
      <c r="N23" t="inlineStr">
        <is>
          <t>NAYY 4x120 SE</t>
        </is>
      </c>
      <c r="O23" t="n">
        <v>-0.09418423831937874</v>
      </c>
      <c r="P23" t="n">
        <v>0.1911470933747978</v>
      </c>
      <c r="Q23" t="n">
        <v>0.1026517971466874</v>
      </c>
      <c r="R23" t="n">
        <v>-0.1881378551540486</v>
      </c>
      <c r="S23" t="n">
        <v>0.008467558827308624</v>
      </c>
      <c r="T23" t="n">
        <v>0.003009238220749277</v>
      </c>
      <c r="U23" t="n">
        <v>133.6049449222878</v>
      </c>
    </row>
    <row r="24">
      <c r="B24" t="n">
        <v>0</v>
      </c>
      <c r="C24" t="inlineStr">
        <is>
          <t>---</t>
        </is>
      </c>
      <c r="D24" t="n">
        <v>20</v>
      </c>
      <c r="E24" t="n">
        <v>0.4</v>
      </c>
      <c r="F24" t="inlineStr">
        <is>
          <t>LV Line2.2</t>
        </is>
      </c>
      <c r="G24" t="n">
        <v>51</v>
      </c>
      <c r="H24" t="n">
        <v>52</v>
      </c>
      <c r="I24" t="n">
        <v>1</v>
      </c>
      <c r="J24" t="n">
        <v>0.12</v>
      </c>
      <c r="K24" t="n">
        <v>0.242</v>
      </c>
      <c r="L24" t="inlineStr">
        <is>
          <t>---</t>
        </is>
      </c>
      <c r="M24" t="n">
        <v>1</v>
      </c>
      <c r="N24" t="inlineStr">
        <is>
          <t>NAYY 4x120 SE</t>
        </is>
      </c>
      <c r="O24" t="n">
        <v>-0.1126517971465748</v>
      </c>
      <c r="P24" t="n">
        <v>0.1581378551545086</v>
      </c>
      <c r="Q24" t="n">
        <v>0.1196013164003989</v>
      </c>
      <c r="R24" t="n">
        <v>-0.155668388879357</v>
      </c>
      <c r="S24" t="n">
        <v>0.006949519253824143</v>
      </c>
      <c r="T24" t="n">
        <v>0.002469466275151544</v>
      </c>
      <c r="U24" t="n">
        <v>121.037741917798</v>
      </c>
    </row>
    <row r="25">
      <c r="B25" t="n">
        <v>0</v>
      </c>
      <c r="C25" t="inlineStr">
        <is>
          <t>---</t>
        </is>
      </c>
      <c r="D25" t="n">
        <v>21</v>
      </c>
      <c r="E25" t="n">
        <v>0.4</v>
      </c>
      <c r="F25" t="inlineStr">
        <is>
          <t>LV Line2.3</t>
        </is>
      </c>
      <c r="G25" t="n">
        <v>52</v>
      </c>
      <c r="H25" t="n">
        <v>53</v>
      </c>
      <c r="I25" t="n">
        <v>1</v>
      </c>
      <c r="J25" t="n">
        <v>0.12</v>
      </c>
      <c r="K25" t="n">
        <v>0.105</v>
      </c>
      <c r="L25" t="inlineStr">
        <is>
          <t>---</t>
        </is>
      </c>
      <c r="M25" t="n">
        <v>1</v>
      </c>
      <c r="N25" t="inlineStr">
        <is>
          <t>15-AL1/3-ST1A 0.4</t>
        </is>
      </c>
      <c r="O25" t="n">
        <v>-0.06480065820033235</v>
      </c>
      <c r="P25" t="n">
        <v>0.06283419444015365</v>
      </c>
      <c r="Q25" t="n">
        <v>0.07705665293809721</v>
      </c>
      <c r="R25" t="n">
        <v>-0.06054879233694579</v>
      </c>
      <c r="S25" t="n">
        <v>0.01225599473776487</v>
      </c>
      <c r="T25" t="n">
        <v>0.002285402103207851</v>
      </c>
      <c r="U25" t="n">
        <v>128.2665065459318</v>
      </c>
    </row>
    <row r="26">
      <c r="B26" t="n">
        <v>0</v>
      </c>
      <c r="C26" t="inlineStr">
        <is>
          <t>---</t>
        </is>
      </c>
      <c r="D26" t="n">
        <v>22</v>
      </c>
      <c r="E26" t="n">
        <v>0.4</v>
      </c>
      <c r="F26" t="inlineStr">
        <is>
          <t>LV Line2.4</t>
        </is>
      </c>
      <c r="G26" t="n">
        <v>53</v>
      </c>
      <c r="H26" t="n">
        <v>54</v>
      </c>
      <c r="I26" t="n">
        <v>1</v>
      </c>
      <c r="J26" t="n">
        <v>0.12</v>
      </c>
      <c r="K26" t="n">
        <v>0.105</v>
      </c>
      <c r="L26" t="inlineStr">
        <is>
          <t>---</t>
        </is>
      </c>
      <c r="M26" t="n">
        <v>1</v>
      </c>
      <c r="N26" t="inlineStr">
        <is>
          <t>15-AL1/3-ST1A 0.4</t>
        </is>
      </c>
      <c r="O26" t="n">
        <v>-0.03705665293822108</v>
      </c>
      <c r="P26" t="n">
        <v>0.03054879233762759</v>
      </c>
      <c r="Q26" t="n">
        <v>0.03999999999988526</v>
      </c>
      <c r="R26" t="n">
        <v>-0.02999999999962989</v>
      </c>
      <c r="S26" t="n">
        <v>0.00294334706166418</v>
      </c>
      <c r="T26" t="n">
        <v>0.0005487923379976951</v>
      </c>
      <c r="U26" t="n">
        <v>62.85789415864485</v>
      </c>
    </row>
    <row r="27">
      <c r="B27" t="n">
        <v>0</v>
      </c>
      <c r="C27" t="inlineStr">
        <is>
          <t>---</t>
        </is>
      </c>
      <c r="D27" t="n">
        <v>23</v>
      </c>
      <c r="E27" t="n">
        <v>0.4</v>
      </c>
      <c r="F27" t="inlineStr">
        <is>
          <t>LV Line2.2.1</t>
        </is>
      </c>
      <c r="G27" t="n">
        <v>52</v>
      </c>
      <c r="H27" t="n">
        <v>55</v>
      </c>
      <c r="I27" t="n">
        <v>1</v>
      </c>
      <c r="J27" t="n">
        <v>0.12</v>
      </c>
      <c r="K27" t="n">
        <v>0.105</v>
      </c>
      <c r="L27" t="inlineStr">
        <is>
          <t>---</t>
        </is>
      </c>
      <c r="M27" t="n">
        <v>1</v>
      </c>
      <c r="N27" t="inlineStr">
        <is>
          <t>15-AL1/3-ST1A 0.4</t>
        </is>
      </c>
      <c r="O27" t="n">
        <v>-0.06480065820033235</v>
      </c>
      <c r="P27" t="n">
        <v>0.06283419444015365</v>
      </c>
      <c r="Q27" t="n">
        <v>0.07705665293809721</v>
      </c>
      <c r="R27" t="n">
        <v>-0.06054879233694579</v>
      </c>
      <c r="S27" t="n">
        <v>0.01225599473776487</v>
      </c>
      <c r="T27" t="n">
        <v>0.002285402103207851</v>
      </c>
      <c r="U27" t="n">
        <v>128.2665065459318</v>
      </c>
    </row>
    <row r="28">
      <c r="B28" t="n">
        <v>0</v>
      </c>
      <c r="C28" t="inlineStr">
        <is>
          <t>---</t>
        </is>
      </c>
      <c r="D28" t="n">
        <v>24</v>
      </c>
      <c r="E28" t="n">
        <v>0.4</v>
      </c>
      <c r="F28" t="inlineStr">
        <is>
          <t>LV Line2.2.2</t>
        </is>
      </c>
      <c r="G28" t="n">
        <v>55</v>
      </c>
      <c r="H28" t="n">
        <v>56</v>
      </c>
      <c r="I28" t="n">
        <v>1</v>
      </c>
      <c r="J28" t="n">
        <v>0.12</v>
      </c>
      <c r="K28" t="n">
        <v>0.105</v>
      </c>
      <c r="L28" t="inlineStr">
        <is>
          <t>---</t>
        </is>
      </c>
      <c r="M28" t="n">
        <v>1</v>
      </c>
      <c r="N28" t="inlineStr">
        <is>
          <t>15-AL1/3-ST1A 0.4</t>
        </is>
      </c>
      <c r="O28" t="n">
        <v>-0.03705665293822108</v>
      </c>
      <c r="P28" t="n">
        <v>0.03054879233762759</v>
      </c>
      <c r="Q28" t="n">
        <v>0.03999999999988526</v>
      </c>
      <c r="R28" t="n">
        <v>-0.02999999999962989</v>
      </c>
      <c r="S28" t="n">
        <v>0.00294334706166418</v>
      </c>
      <c r="T28" t="n">
        <v>0.0005487923379976951</v>
      </c>
      <c r="U28" t="n">
        <v>62.85789415864485</v>
      </c>
    </row>
    <row r="29">
      <c r="B29" t="n">
        <v>1</v>
      </c>
      <c r="C29" t="inlineStr">
        <is>
          <t>---</t>
        </is>
      </c>
      <c r="D29" t="n">
        <v>0</v>
      </c>
      <c r="E29" t="n">
        <v>110</v>
      </c>
      <c r="F29" t="inlineStr">
        <is>
          <t>HV Line1</t>
        </is>
      </c>
      <c r="G29" t="n">
        <v>18</v>
      </c>
      <c r="H29" t="n">
        <v>32</v>
      </c>
      <c r="I29" t="n">
        <v>1</v>
      </c>
      <c r="J29" t="n">
        <v>30</v>
      </c>
      <c r="K29" t="n">
        <v>0.535</v>
      </c>
      <c r="L29" t="inlineStr">
        <is>
          <t>---</t>
        </is>
      </c>
      <c r="M29" t="n">
        <v>1</v>
      </c>
      <c r="N29" t="inlineStr">
        <is>
          <t>184-AL1/30-ST1A 110.0</t>
        </is>
      </c>
      <c r="O29" t="n">
        <v>35.53082428224597</v>
      </c>
      <c r="P29" t="n">
        <v>-3.462007263664479</v>
      </c>
      <c r="Q29" t="n">
        <v>-35.06600389626899</v>
      </c>
      <c r="R29" t="n">
        <v>3.586958300405501</v>
      </c>
      <c r="S29" t="n">
        <v>0.4648203859769851</v>
      </c>
      <c r="T29" t="n">
        <v>0.124951036741022</v>
      </c>
      <c r="U29" t="n">
        <v>33.93611071180127</v>
      </c>
    </row>
    <row r="30">
      <c r="B30" t="n">
        <v>1</v>
      </c>
      <c r="C30" t="inlineStr">
        <is>
          <t>---</t>
        </is>
      </c>
      <c r="D30" t="n">
        <v>1</v>
      </c>
      <c r="E30" t="n">
        <v>110</v>
      </c>
      <c r="F30" t="inlineStr">
        <is>
          <t>HV Line2</t>
        </is>
      </c>
      <c r="G30" t="n">
        <v>32</v>
      </c>
      <c r="H30" t="n">
        <v>33</v>
      </c>
      <c r="I30" t="n">
        <v>1</v>
      </c>
      <c r="J30" t="n">
        <v>20</v>
      </c>
      <c r="K30" t="n">
        <v>0.535</v>
      </c>
      <c r="L30" t="inlineStr">
        <is>
          <t>---</t>
        </is>
      </c>
      <c r="M30" t="n">
        <v>1</v>
      </c>
      <c r="N30" t="inlineStr">
        <is>
          <t>184-AL1/30-ST1A 110.0</t>
        </is>
      </c>
      <c r="O30" t="n">
        <v>14.83953036034683</v>
      </c>
      <c r="P30" t="n">
        <v>3.700976147676725</v>
      </c>
      <c r="Q30" t="n">
        <v>-14.78070842790515</v>
      </c>
      <c r="R30" t="n">
        <v>-4.245712541872835</v>
      </c>
      <c r="S30" t="n">
        <v>0.05882193244168832</v>
      </c>
      <c r="T30" t="n">
        <v>-0.5447363941961099</v>
      </c>
      <c r="U30" t="n">
        <v>14.85418454545852</v>
      </c>
    </row>
    <row r="31">
      <c r="B31" t="n">
        <v>1</v>
      </c>
      <c r="C31" t="inlineStr">
        <is>
          <t>---</t>
        </is>
      </c>
      <c r="D31" t="n">
        <v>2</v>
      </c>
      <c r="E31" t="n">
        <v>110</v>
      </c>
      <c r="F31" t="inlineStr">
        <is>
          <t>HV Line3</t>
        </is>
      </c>
      <c r="G31" t="n">
        <v>33</v>
      </c>
      <c r="H31" t="n">
        <v>35</v>
      </c>
      <c r="I31" t="n">
        <v>1</v>
      </c>
      <c r="J31" t="n">
        <v>30</v>
      </c>
      <c r="K31" t="n">
        <v>0.535</v>
      </c>
      <c r="L31" t="inlineStr">
        <is>
          <t>---</t>
        </is>
      </c>
      <c r="M31" t="n">
        <v>1</v>
      </c>
      <c r="N31" t="inlineStr">
        <is>
          <t>184-AL1/30-ST1A 110.0</t>
        </is>
      </c>
      <c r="O31" t="n">
        <v>-23.84360702065141</v>
      </c>
      <c r="P31" t="n">
        <v>-5.595909978656673</v>
      </c>
      <c r="Q31" t="n">
        <v>24.06800123344398</v>
      </c>
      <c r="R31" t="n">
        <v>5.117287012674935</v>
      </c>
      <c r="S31" t="n">
        <v>0.2243942127925713</v>
      </c>
      <c r="T31" t="n">
        <v>-0.4786229659817378</v>
      </c>
      <c r="U31" t="n">
        <v>23.65659286362562</v>
      </c>
    </row>
    <row r="32">
      <c r="B32" t="n">
        <v>1</v>
      </c>
      <c r="C32" t="inlineStr">
        <is>
          <t>---</t>
        </is>
      </c>
      <c r="D32" t="n">
        <v>3</v>
      </c>
      <c r="E32" t="n">
        <v>110</v>
      </c>
      <c r="F32" t="inlineStr">
        <is>
          <t>HV Line4</t>
        </is>
      </c>
      <c r="G32" t="n">
        <v>32</v>
      </c>
      <c r="H32" t="n">
        <v>35</v>
      </c>
      <c r="I32" t="n">
        <v>1</v>
      </c>
      <c r="J32" t="n">
        <v>15</v>
      </c>
      <c r="K32" t="n">
        <v>0.535</v>
      </c>
      <c r="L32" t="inlineStr">
        <is>
          <t>---</t>
        </is>
      </c>
      <c r="M32" t="n">
        <v>1</v>
      </c>
      <c r="N32" t="inlineStr">
        <is>
          <t>184-AL1/30-ST1A 110.0</t>
        </is>
      </c>
      <c r="O32" t="n">
        <v>-28.11156893616772</v>
      </c>
      <c r="P32" t="n">
        <v>-5.486195404832149</v>
      </c>
      <c r="Q32" t="n">
        <v>28.2639985179799</v>
      </c>
      <c r="R32" t="n">
        <v>5.34607321828413</v>
      </c>
      <c r="S32" t="n">
        <v>0.1524295818121821</v>
      </c>
      <c r="T32" t="n">
        <v>-0.1401221865480187</v>
      </c>
      <c r="U32" t="n">
        <v>27.49354386854159</v>
      </c>
    </row>
    <row r="33">
      <c r="B33" t="n">
        <v>1</v>
      </c>
      <c r="C33" t="inlineStr">
        <is>
          <t>---</t>
        </is>
      </c>
      <c r="D33" t="n">
        <v>4</v>
      </c>
      <c r="E33" t="n">
        <v>110</v>
      </c>
      <c r="F33" t="inlineStr">
        <is>
          <t>HV Line5</t>
        </is>
      </c>
      <c r="G33" t="n">
        <v>34</v>
      </c>
      <c r="H33" t="n">
        <v>35</v>
      </c>
      <c r="I33" t="n">
        <v>1</v>
      </c>
      <c r="J33" t="n">
        <v>25</v>
      </c>
      <c r="K33" t="n">
        <v>0.535</v>
      </c>
      <c r="L33" t="inlineStr">
        <is>
          <t>---</t>
        </is>
      </c>
      <c r="M33" t="n">
        <v>1</v>
      </c>
      <c r="N33" t="inlineStr">
        <is>
          <t>184-AL1/30-ST1A 110.0</t>
        </is>
      </c>
      <c r="O33" t="n">
        <v>-9.638119311151483</v>
      </c>
      <c r="P33" t="n">
        <v>-2.411573336773333</v>
      </c>
      <c r="Q33" t="n">
        <v>9.668000248601311</v>
      </c>
      <c r="R33" t="n">
        <v>1.604442046592009</v>
      </c>
      <c r="S33" t="n">
        <v>0.02988093744982834</v>
      </c>
      <c r="T33" t="n">
        <v>-0.8071312901813248</v>
      </c>
      <c r="U33" t="n">
        <v>9.50617294310767</v>
      </c>
    </row>
    <row r="34">
      <c r="B34" t="n">
        <v>1</v>
      </c>
      <c r="C34" t="inlineStr">
        <is>
          <t>---</t>
        </is>
      </c>
      <c r="D34" t="n">
        <v>5</v>
      </c>
      <c r="E34" t="n">
        <v>110</v>
      </c>
      <c r="F34" t="inlineStr">
        <is>
          <t>HV Line6</t>
        </is>
      </c>
      <c r="G34" t="n">
        <v>19</v>
      </c>
      <c r="H34" t="n">
        <v>34</v>
      </c>
      <c r="I34" t="n">
        <v>1</v>
      </c>
      <c r="J34" t="n">
        <v>30</v>
      </c>
      <c r="K34" t="n">
        <v>0.535</v>
      </c>
      <c r="L34" t="inlineStr">
        <is>
          <t>---</t>
        </is>
      </c>
      <c r="M34" t="n">
        <v>2</v>
      </c>
      <c r="N34" t="inlineStr">
        <is>
          <t>184-AL1/30-ST1A 110.0</t>
        </is>
      </c>
      <c r="O34" t="n">
        <v>58.93911345553651</v>
      </c>
      <c r="P34" t="n">
        <v>-9.397096828904443</v>
      </c>
      <c r="Q34" t="n">
        <v>-58.29122654905883</v>
      </c>
      <c r="R34" t="n">
        <v>8.922823760018128</v>
      </c>
      <c r="S34" t="n">
        <v>0.6478869064776802</v>
      </c>
      <c r="T34" t="n">
        <v>-0.4742730688863155</v>
      </c>
      <c r="U34" t="n">
        <v>28.36805009836281</v>
      </c>
    </row>
    <row r="35">
      <c r="B35" t="n">
        <v>1</v>
      </c>
      <c r="C35" t="inlineStr">
        <is>
          <t>---</t>
        </is>
      </c>
      <c r="D35" t="n">
        <v>6</v>
      </c>
      <c r="E35" t="n">
        <v>10</v>
      </c>
      <c r="F35" t="inlineStr">
        <is>
          <t>MV Line1</t>
        </is>
      </c>
      <c r="G35" t="n">
        <v>37</v>
      </c>
      <c r="H35" t="n">
        <v>38</v>
      </c>
      <c r="I35" t="n">
        <v>1</v>
      </c>
      <c r="J35" t="n">
        <v>1.5</v>
      </c>
      <c r="K35" t="n">
        <v>0.362</v>
      </c>
      <c r="L35" t="inlineStr">
        <is>
          <t>---</t>
        </is>
      </c>
      <c r="M35" t="n">
        <v>1</v>
      </c>
      <c r="N35" t="inlineStr">
        <is>
          <t>NA2XS2Y 1x185 RM/25 12/20 kV</t>
        </is>
      </c>
      <c r="O35" t="n">
        <v>1.168541908414142</v>
      </c>
      <c r="P35" t="n">
        <v>0.6260720332554708</v>
      </c>
      <c r="Q35" t="n">
        <v>-1.164303492695946</v>
      </c>
      <c r="R35" t="n">
        <v>-0.6358837112266233</v>
      </c>
      <c r="S35" t="n">
        <v>0.004238415718196054</v>
      </c>
      <c r="T35" t="n">
        <v>-0.009811677971152566</v>
      </c>
      <c r="U35" t="n">
        <v>21.17769712243579</v>
      </c>
    </row>
    <row r="36">
      <c r="B36" t="n">
        <v>1</v>
      </c>
      <c r="C36" t="inlineStr">
        <is>
          <t>---</t>
        </is>
      </c>
      <c r="D36" t="n">
        <v>7</v>
      </c>
      <c r="E36" t="n">
        <v>10</v>
      </c>
      <c r="F36" t="inlineStr">
        <is>
          <t>MV Line2</t>
        </is>
      </c>
      <c r="G36" t="n">
        <v>38</v>
      </c>
      <c r="H36" t="n">
        <v>39</v>
      </c>
      <c r="I36" t="n">
        <v>1</v>
      </c>
      <c r="J36" t="n">
        <v>1.5</v>
      </c>
      <c r="K36" t="n">
        <v>0.362</v>
      </c>
      <c r="L36" t="inlineStr">
        <is>
          <t>---</t>
        </is>
      </c>
      <c r="M36" t="n">
        <v>1</v>
      </c>
      <c r="N36" t="inlineStr">
        <is>
          <t>NA2XS2Y 1x185 RM/25 12/20 kV</t>
        </is>
      </c>
      <c r="O36" t="n">
        <v>0.7643034926978812</v>
      </c>
      <c r="P36" t="n">
        <v>0.5358837112257777</v>
      </c>
      <c r="Q36" t="n">
        <v>-0.7621786218062534</v>
      </c>
      <c r="R36" t="n">
        <v>-0.5471448942176746</v>
      </c>
      <c r="S36" t="n">
        <v>0.002124870891627828</v>
      </c>
      <c r="T36" t="n">
        <v>-0.01126118299189693</v>
      </c>
      <c r="U36" t="n">
        <v>15.0196122735407</v>
      </c>
    </row>
    <row r="37">
      <c r="B37" t="n">
        <v>1</v>
      </c>
      <c r="C37" t="inlineStr">
        <is>
          <t>---</t>
        </is>
      </c>
      <c r="D37" t="n">
        <v>8</v>
      </c>
      <c r="E37" t="n">
        <v>10</v>
      </c>
      <c r="F37" t="inlineStr">
        <is>
          <t>MV Line3</t>
        </is>
      </c>
      <c r="G37" t="n">
        <v>39</v>
      </c>
      <c r="H37" t="n">
        <v>40</v>
      </c>
      <c r="I37" t="n">
        <v>1</v>
      </c>
      <c r="J37" t="n">
        <v>1.5</v>
      </c>
      <c r="K37" t="n">
        <v>0.362</v>
      </c>
      <c r="L37" t="inlineStr">
        <is>
          <t>---</t>
        </is>
      </c>
      <c r="M37" t="n">
        <v>1</v>
      </c>
      <c r="N37" t="inlineStr">
        <is>
          <t>NA2XS2Y 1x185 RM/25 12/20 kV</t>
        </is>
      </c>
      <c r="O37" t="n">
        <v>0.3621786218083775</v>
      </c>
      <c r="P37" t="n">
        <v>0.487144894216447</v>
      </c>
      <c r="Q37" t="n">
        <v>-0.3612668505336402</v>
      </c>
      <c r="R37" t="n">
        <v>-0.4992293336058845</v>
      </c>
      <c r="S37" t="n">
        <v>0.0009117712747373496</v>
      </c>
      <c r="T37" t="n">
        <v>-0.01208443938943748</v>
      </c>
      <c r="U37" t="n">
        <v>9.882228935229556</v>
      </c>
    </row>
    <row r="38">
      <c r="B38" t="n">
        <v>1</v>
      </c>
      <c r="C38" t="inlineStr">
        <is>
          <t>---</t>
        </is>
      </c>
      <c r="D38" t="n">
        <v>9</v>
      </c>
      <c r="E38" t="n">
        <v>10</v>
      </c>
      <c r="F38" t="inlineStr">
        <is>
          <t>MV Line4</t>
        </is>
      </c>
      <c r="G38" t="n">
        <v>40</v>
      </c>
      <c r="H38" t="n">
        <v>41</v>
      </c>
      <c r="I38" t="n">
        <v>1</v>
      </c>
      <c r="J38" t="n">
        <v>1.5</v>
      </c>
      <c r="K38" t="n">
        <v>0.362</v>
      </c>
      <c r="L38" t="inlineStr">
        <is>
          <t>---</t>
        </is>
      </c>
      <c r="M38" t="n">
        <v>1</v>
      </c>
      <c r="N38" t="inlineStr">
        <is>
          <t>NA2XS2Y 1x185 RM/25 12/20 kV</t>
        </is>
      </c>
      <c r="O38" t="n">
        <v>-0.03873314946417955</v>
      </c>
      <c r="P38" t="n">
        <v>0.439229333604612</v>
      </c>
      <c r="Q38" t="n">
        <v>0.03922159721835797</v>
      </c>
      <c r="R38" t="n">
        <v>-0.4515901866160694</v>
      </c>
      <c r="S38" t="n">
        <v>0.0004884477541784171</v>
      </c>
      <c r="T38" t="n">
        <v>-0.0123608530114574</v>
      </c>
      <c r="U38" t="n">
        <v>7.274248044878709</v>
      </c>
    </row>
    <row r="39">
      <c r="B39" t="n">
        <v>1</v>
      </c>
      <c r="C39" t="inlineStr">
        <is>
          <t>---</t>
        </is>
      </c>
      <c r="D39" t="n">
        <v>10</v>
      </c>
      <c r="E39" t="n">
        <v>10</v>
      </c>
      <c r="F39" t="inlineStr">
        <is>
          <t>MV Line5</t>
        </is>
      </c>
      <c r="G39" t="n">
        <v>41</v>
      </c>
      <c r="H39" t="n">
        <v>42</v>
      </c>
      <c r="I39" t="n">
        <v>1</v>
      </c>
      <c r="J39" t="n">
        <v>1.5</v>
      </c>
      <c r="K39" t="n">
        <v>0.362</v>
      </c>
      <c r="L39" t="inlineStr">
        <is>
          <t>---</t>
        </is>
      </c>
      <c r="M39" t="n">
        <v>1</v>
      </c>
      <c r="N39" t="inlineStr">
        <is>
          <t>NA2XS2Y 1x185 RM/25 12/20 kV</t>
        </is>
      </c>
      <c r="O39" t="n">
        <v>9.869896089483021e-08</v>
      </c>
      <c r="P39" t="n">
        <v>-0.01270703817608917</v>
      </c>
      <c r="Q39" t="n">
        <v>3.234197642597787e-14</v>
      </c>
      <c r="R39" t="n">
        <v>4.632057155286373e-14</v>
      </c>
      <c r="S39" t="n">
        <v>9.869899323680663e-08</v>
      </c>
      <c r="T39" t="n">
        <v>-0.01270703817604285</v>
      </c>
      <c r="U39" t="n">
        <v>0.2039182448816685</v>
      </c>
    </row>
    <row r="40">
      <c r="B40" t="n">
        <v>1</v>
      </c>
      <c r="C40" t="inlineStr">
        <is>
          <t>---</t>
        </is>
      </c>
      <c r="D40" t="n">
        <v>11</v>
      </c>
      <c r="E40" t="n">
        <v>10</v>
      </c>
      <c r="F40" t="inlineStr">
        <is>
          <t>MV Line6</t>
        </is>
      </c>
      <c r="G40" t="n">
        <v>42</v>
      </c>
      <c r="H40" t="n">
        <v>43</v>
      </c>
      <c r="I40" t="n">
        <v>1</v>
      </c>
      <c r="J40" t="n">
        <v>1.5</v>
      </c>
      <c r="K40" t="n">
        <v>0.362</v>
      </c>
      <c r="L40" t="inlineStr">
        <is>
          <t>---</t>
        </is>
      </c>
      <c r="M40" t="n">
        <v>1</v>
      </c>
      <c r="N40" t="inlineStr">
        <is>
          <t>NA2XS2Y 1x185 RM/25 12/20 kV</t>
        </is>
      </c>
      <c r="O40" t="n">
        <v>1.599999999991522</v>
      </c>
      <c r="P40" t="n">
        <v>0.04000000000609616</v>
      </c>
      <c r="Q40" t="n">
        <v>-1.593981080706671</v>
      </c>
      <c r="R40" t="n">
        <v>-0.04880084402874707</v>
      </c>
      <c r="S40" t="n">
        <v>0.006018919284851432</v>
      </c>
      <c r="T40" t="n">
        <v>-0.008800844022650911</v>
      </c>
      <c r="U40" t="n">
        <v>25.18155298432787</v>
      </c>
    </row>
    <row r="41">
      <c r="B41" t="n">
        <v>1</v>
      </c>
      <c r="C41" t="inlineStr">
        <is>
          <t>---</t>
        </is>
      </c>
      <c r="D41" t="n">
        <v>12</v>
      </c>
      <c r="E41" t="n">
        <v>10</v>
      </c>
      <c r="F41" t="inlineStr">
        <is>
          <t>MV Line7</t>
        </is>
      </c>
      <c r="G41" t="n">
        <v>43</v>
      </c>
      <c r="H41" t="n">
        <v>44</v>
      </c>
      <c r="I41" t="n">
        <v>1</v>
      </c>
      <c r="J41" t="n">
        <v>1.5</v>
      </c>
      <c r="K41" t="n">
        <v>0.362</v>
      </c>
      <c r="L41" t="inlineStr">
        <is>
          <t>---</t>
        </is>
      </c>
      <c r="M41" t="n">
        <v>1</v>
      </c>
      <c r="N41" t="inlineStr">
        <is>
          <t>NA2XS2Y 1x185 RM/25 12/20 kV</t>
        </is>
      </c>
      <c r="O41" t="n">
        <v>1.693981080705698</v>
      </c>
      <c r="P41" t="n">
        <v>-0.01119915597023957</v>
      </c>
      <c r="Q41" t="n">
        <v>-1.687187985375347</v>
      </c>
      <c r="R41" t="n">
        <v>0.003063894715707449</v>
      </c>
      <c r="S41" t="n">
        <v>0.006793095330350774</v>
      </c>
      <c r="T41" t="n">
        <v>-0.008135261254532122</v>
      </c>
      <c r="U41" t="n">
        <v>26.74939431634612</v>
      </c>
    </row>
    <row r="42">
      <c r="B42" t="n">
        <v>1</v>
      </c>
      <c r="C42" t="inlineStr">
        <is>
          <t>---</t>
        </is>
      </c>
      <c r="D42" t="n">
        <v>13</v>
      </c>
      <c r="E42" t="n">
        <v>10</v>
      </c>
      <c r="F42" t="inlineStr">
        <is>
          <t>MV Line8</t>
        </is>
      </c>
      <c r="G42" t="n">
        <v>37</v>
      </c>
      <c r="H42" t="n">
        <v>44</v>
      </c>
      <c r="I42" t="n">
        <v>1</v>
      </c>
      <c r="J42" t="n">
        <v>1.5</v>
      </c>
      <c r="K42" t="n">
        <v>0.362</v>
      </c>
      <c r="L42" t="inlineStr">
        <is>
          <t>---</t>
        </is>
      </c>
      <c r="M42" t="n">
        <v>1</v>
      </c>
      <c r="N42" t="inlineStr">
        <is>
          <t>NA2XS2Y 1x185 RM/25 12/20 kV</t>
        </is>
      </c>
      <c r="O42" t="n">
        <v>-1.283226589163548</v>
      </c>
      <c r="P42" t="n">
        <v>0.05296179858413053</v>
      </c>
      <c r="Q42" t="n">
        <v>1.287187985377293</v>
      </c>
      <c r="R42" t="n">
        <v>-0.06306389471652274</v>
      </c>
      <c r="S42" t="n">
        <v>0.003961396213744139</v>
      </c>
      <c r="T42" t="n">
        <v>-0.01010209613239221</v>
      </c>
      <c r="U42" t="n">
        <v>20.43140390635181</v>
      </c>
    </row>
    <row r="43">
      <c r="B43" t="n">
        <v>1</v>
      </c>
      <c r="C43" t="inlineStr">
        <is>
          <t>---</t>
        </is>
      </c>
      <c r="D43" t="n">
        <v>14</v>
      </c>
      <c r="E43" t="n">
        <v>0.4</v>
      </c>
      <c r="F43" t="inlineStr">
        <is>
          <t>LV Line1.1</t>
        </is>
      </c>
      <c r="G43" t="n">
        <v>45</v>
      </c>
      <c r="H43" t="n">
        <v>46</v>
      </c>
      <c r="I43" t="n">
        <v>1</v>
      </c>
      <c r="J43" t="n">
        <v>0.08</v>
      </c>
      <c r="K43" t="n">
        <v>0.242</v>
      </c>
      <c r="L43" t="inlineStr">
        <is>
          <t>---</t>
        </is>
      </c>
      <c r="M43" t="n">
        <v>1</v>
      </c>
      <c r="N43" t="inlineStr">
        <is>
          <t>NAYY 4x120 SE</t>
        </is>
      </c>
      <c r="O43" t="n">
        <v>-0.05321842085934766</v>
      </c>
      <c r="P43" t="n">
        <v>0.1524064789453607</v>
      </c>
      <c r="Q43" t="n">
        <v>0.05645815113067428</v>
      </c>
      <c r="R43" t="n">
        <v>-0.1512555356407383</v>
      </c>
      <c r="S43" t="n">
        <v>0.00323973027132661</v>
      </c>
      <c r="T43" t="n">
        <v>0.001150943304622482</v>
      </c>
      <c r="U43" t="n">
        <v>101.2146533041845</v>
      </c>
    </row>
    <row r="44">
      <c r="B44" t="n">
        <v>1</v>
      </c>
      <c r="C44" t="inlineStr">
        <is>
          <t>---</t>
        </is>
      </c>
      <c r="D44" t="n">
        <v>15</v>
      </c>
      <c r="E44" t="n">
        <v>0.4</v>
      </c>
      <c r="F44" t="inlineStr">
        <is>
          <t>LV Line1.2</t>
        </is>
      </c>
      <c r="G44" t="n">
        <v>46</v>
      </c>
      <c r="H44" t="n">
        <v>47</v>
      </c>
      <c r="I44" t="n">
        <v>1</v>
      </c>
      <c r="J44" t="n">
        <v>0.08</v>
      </c>
      <c r="K44" t="n">
        <v>0.242</v>
      </c>
      <c r="L44" t="inlineStr">
        <is>
          <t>---</t>
        </is>
      </c>
      <c r="M44" t="n">
        <v>1</v>
      </c>
      <c r="N44" t="inlineStr">
        <is>
          <t>NAYY 4x120 SE</t>
        </is>
      </c>
      <c r="O44" t="n">
        <v>-0.006458151130987739</v>
      </c>
      <c r="P44" t="n">
        <v>0.1212555356413979</v>
      </c>
      <c r="Q44" t="n">
        <v>0.008290793338156636</v>
      </c>
      <c r="R44" t="n">
        <v>-0.1206048861626523</v>
      </c>
      <c r="S44" t="n">
        <v>0.001832642207168896</v>
      </c>
      <c r="T44" t="n">
        <v>0.0006506494787455602</v>
      </c>
      <c r="U44" t="n">
        <v>76.12517482889285</v>
      </c>
    </row>
    <row r="45">
      <c r="B45" t="n">
        <v>1</v>
      </c>
      <c r="C45" t="inlineStr">
        <is>
          <t>---</t>
        </is>
      </c>
      <c r="D45" t="n">
        <v>16</v>
      </c>
      <c r="E45" t="n">
        <v>0.4</v>
      </c>
      <c r="F45" t="inlineStr">
        <is>
          <t>LV Line1.3</t>
        </is>
      </c>
      <c r="G45" t="n">
        <v>47</v>
      </c>
      <c r="H45" t="n">
        <v>48</v>
      </c>
      <c r="I45" t="n">
        <v>1</v>
      </c>
      <c r="J45" t="n">
        <v>0.08</v>
      </c>
      <c r="K45" t="n">
        <v>0.242</v>
      </c>
      <c r="L45" t="inlineStr">
        <is>
          <t>---</t>
        </is>
      </c>
      <c r="M45" t="n">
        <v>1</v>
      </c>
      <c r="N45" t="inlineStr">
        <is>
          <t>NAYY 4x120 SE</t>
        </is>
      </c>
      <c r="O45" t="n">
        <v>-0.0182907933381709</v>
      </c>
      <c r="P45" t="n">
        <v>0.09060488616307105</v>
      </c>
      <c r="Q45" t="n">
        <v>0.01936221194084035</v>
      </c>
      <c r="R45" t="n">
        <v>-0.09022488812051119</v>
      </c>
      <c r="S45" t="n">
        <v>0.00107141860266945</v>
      </c>
      <c r="T45" t="n">
        <v>0.0003799980425598648</v>
      </c>
      <c r="U45" t="n">
        <v>58.20623780655234</v>
      </c>
    </row>
    <row r="46">
      <c r="B46" t="n">
        <v>1</v>
      </c>
      <c r="C46" t="inlineStr">
        <is>
          <t>---</t>
        </is>
      </c>
      <c r="D46" t="n">
        <v>17</v>
      </c>
      <c r="E46" t="n">
        <v>0.4</v>
      </c>
      <c r="F46" t="inlineStr">
        <is>
          <t>LV Line1.4</t>
        </is>
      </c>
      <c r="G46" t="n">
        <v>48</v>
      </c>
      <c r="H46" t="n">
        <v>49</v>
      </c>
      <c r="I46" t="n">
        <v>1</v>
      </c>
      <c r="J46" t="n">
        <v>0.08</v>
      </c>
      <c r="K46" t="n">
        <v>0.242</v>
      </c>
      <c r="L46" t="inlineStr">
        <is>
          <t>---</t>
        </is>
      </c>
      <c r="M46" t="n">
        <v>1</v>
      </c>
      <c r="N46" t="inlineStr">
        <is>
          <t>NAYY 4x120 SE</t>
        </is>
      </c>
      <c r="O46" t="n">
        <v>0.02063778805884566</v>
      </c>
      <c r="P46" t="n">
        <v>0.06022488812116294</v>
      </c>
      <c r="Q46" t="n">
        <v>-0.02012782919815207</v>
      </c>
      <c r="R46" t="n">
        <v>-0.06004451363023263</v>
      </c>
      <c r="S46" t="n">
        <v>0.0005099588606935941</v>
      </c>
      <c r="T46" t="n">
        <v>0.0001803744909303143</v>
      </c>
      <c r="U46" t="n">
        <v>40.15673352962173</v>
      </c>
    </row>
    <row r="47">
      <c r="B47" t="n">
        <v>1</v>
      </c>
      <c r="C47" t="inlineStr">
        <is>
          <t>---</t>
        </is>
      </c>
      <c r="D47" t="n">
        <v>18</v>
      </c>
      <c r="E47" t="n">
        <v>0.4</v>
      </c>
      <c r="F47" t="inlineStr">
        <is>
          <t>LV Line1.6</t>
        </is>
      </c>
      <c r="G47" t="n">
        <v>49</v>
      </c>
      <c r="H47" t="n">
        <v>50</v>
      </c>
      <c r="I47" t="n">
        <v>1</v>
      </c>
      <c r="J47" t="n">
        <v>0.08</v>
      </c>
      <c r="K47" t="n">
        <v>0.242</v>
      </c>
      <c r="L47" t="inlineStr">
        <is>
          <t>---</t>
        </is>
      </c>
      <c r="M47" t="n">
        <v>1</v>
      </c>
      <c r="N47" t="inlineStr">
        <is>
          <t>NAYY 4x120 SE</t>
        </is>
      </c>
      <c r="O47" t="n">
        <v>0.01012782919809298</v>
      </c>
      <c r="P47" t="n">
        <v>0.03004451363068197</v>
      </c>
      <c r="Q47" t="n">
        <v>-0.01000000000006691</v>
      </c>
      <c r="R47" t="n">
        <v>-0.02999999999952871</v>
      </c>
      <c r="S47" t="n">
        <v>0.0001278291980260759</v>
      </c>
      <c r="T47" t="n">
        <v>4.451363115325763e-05</v>
      </c>
      <c r="U47" t="n">
        <v>20.10522198221736</v>
      </c>
    </row>
    <row r="48">
      <c r="B48" t="n">
        <v>1</v>
      </c>
      <c r="C48" t="inlineStr">
        <is>
          <t>---</t>
        </is>
      </c>
      <c r="D48" t="n">
        <v>19</v>
      </c>
      <c r="E48" t="n">
        <v>0.4</v>
      </c>
      <c r="F48" t="inlineStr">
        <is>
          <t>LV Line2.1</t>
        </is>
      </c>
      <c r="G48" t="n">
        <v>45</v>
      </c>
      <c r="H48" t="n">
        <v>51</v>
      </c>
      <c r="I48" t="n">
        <v>1</v>
      </c>
      <c r="J48" t="n">
        <v>0.12</v>
      </c>
      <c r="K48" t="n">
        <v>0.242</v>
      </c>
      <c r="L48" t="inlineStr">
        <is>
          <t>---</t>
        </is>
      </c>
      <c r="M48" t="n">
        <v>1</v>
      </c>
      <c r="N48" t="inlineStr">
        <is>
          <t>NAYY 4x120 SE</t>
        </is>
      </c>
      <c r="O48" t="n">
        <v>-0.09418423831937874</v>
      </c>
      <c r="P48" t="n">
        <v>0.1911470933747978</v>
      </c>
      <c r="Q48" t="n">
        <v>0.1026517971466874</v>
      </c>
      <c r="R48" t="n">
        <v>-0.1881378551540486</v>
      </c>
      <c r="S48" t="n">
        <v>0.008467558827308624</v>
      </c>
      <c r="T48" t="n">
        <v>0.003009238220749277</v>
      </c>
      <c r="U48" t="n">
        <v>133.6049449222878</v>
      </c>
    </row>
    <row r="49">
      <c r="B49" t="n">
        <v>1</v>
      </c>
      <c r="C49" t="inlineStr">
        <is>
          <t>---</t>
        </is>
      </c>
      <c r="D49" t="n">
        <v>20</v>
      </c>
      <c r="E49" t="n">
        <v>0.4</v>
      </c>
      <c r="F49" t="inlineStr">
        <is>
          <t>LV Line2.2</t>
        </is>
      </c>
      <c r="G49" t="n">
        <v>51</v>
      </c>
      <c r="H49" t="n">
        <v>52</v>
      </c>
      <c r="I49" t="n">
        <v>1</v>
      </c>
      <c r="J49" t="n">
        <v>0.12</v>
      </c>
      <c r="K49" t="n">
        <v>0.242</v>
      </c>
      <c r="L49" t="inlineStr">
        <is>
          <t>---</t>
        </is>
      </c>
      <c r="M49" t="n">
        <v>1</v>
      </c>
      <c r="N49" t="inlineStr">
        <is>
          <t>NAYY 4x120 SE</t>
        </is>
      </c>
      <c r="O49" t="n">
        <v>-0.1126517971465748</v>
      </c>
      <c r="P49" t="n">
        <v>0.1581378551545086</v>
      </c>
      <c r="Q49" t="n">
        <v>0.1196013164003989</v>
      </c>
      <c r="R49" t="n">
        <v>-0.155668388879357</v>
      </c>
      <c r="S49" t="n">
        <v>0.006949519253824143</v>
      </c>
      <c r="T49" t="n">
        <v>0.002469466275151544</v>
      </c>
      <c r="U49" t="n">
        <v>121.037741917798</v>
      </c>
    </row>
    <row r="50">
      <c r="B50" t="n">
        <v>1</v>
      </c>
      <c r="C50" t="inlineStr">
        <is>
          <t>---</t>
        </is>
      </c>
      <c r="D50" t="n">
        <v>21</v>
      </c>
      <c r="E50" t="n">
        <v>0.4</v>
      </c>
      <c r="F50" t="inlineStr">
        <is>
          <t>LV Line2.3</t>
        </is>
      </c>
      <c r="G50" t="n">
        <v>52</v>
      </c>
      <c r="H50" t="n">
        <v>53</v>
      </c>
      <c r="I50" t="n">
        <v>1</v>
      </c>
      <c r="J50" t="n">
        <v>0.12</v>
      </c>
      <c r="K50" t="n">
        <v>0.105</v>
      </c>
      <c r="L50" t="inlineStr">
        <is>
          <t>---</t>
        </is>
      </c>
      <c r="M50" t="n">
        <v>1</v>
      </c>
      <c r="N50" t="inlineStr">
        <is>
          <t>15-AL1/3-ST1A 0.4</t>
        </is>
      </c>
      <c r="O50" t="n">
        <v>-0.06480065820033235</v>
      </c>
      <c r="P50" t="n">
        <v>0.06283419444015365</v>
      </c>
      <c r="Q50" t="n">
        <v>0.07705665293809721</v>
      </c>
      <c r="R50" t="n">
        <v>-0.06054879233694579</v>
      </c>
      <c r="S50" t="n">
        <v>0.01225599473776487</v>
      </c>
      <c r="T50" t="n">
        <v>0.002285402103207851</v>
      </c>
      <c r="U50" t="n">
        <v>128.2665065459318</v>
      </c>
    </row>
    <row r="51">
      <c r="B51" t="n">
        <v>1</v>
      </c>
      <c r="C51" t="inlineStr">
        <is>
          <t>---</t>
        </is>
      </c>
      <c r="D51" t="n">
        <v>22</v>
      </c>
      <c r="E51" t="n">
        <v>0.4</v>
      </c>
      <c r="F51" t="inlineStr">
        <is>
          <t>LV Line2.4</t>
        </is>
      </c>
      <c r="G51" t="n">
        <v>53</v>
      </c>
      <c r="H51" t="n">
        <v>54</v>
      </c>
      <c r="I51" t="n">
        <v>1</v>
      </c>
      <c r="J51" t="n">
        <v>0.12</v>
      </c>
      <c r="K51" t="n">
        <v>0.105</v>
      </c>
      <c r="L51" t="inlineStr">
        <is>
          <t>---</t>
        </is>
      </c>
      <c r="M51" t="n">
        <v>1</v>
      </c>
      <c r="N51" t="inlineStr">
        <is>
          <t>15-AL1/3-ST1A 0.4</t>
        </is>
      </c>
      <c r="O51" t="n">
        <v>-0.03705665293822108</v>
      </c>
      <c r="P51" t="n">
        <v>0.03054879233762759</v>
      </c>
      <c r="Q51" t="n">
        <v>0.03999999999988526</v>
      </c>
      <c r="R51" t="n">
        <v>-0.02999999999962989</v>
      </c>
      <c r="S51" t="n">
        <v>0.00294334706166418</v>
      </c>
      <c r="T51" t="n">
        <v>0.0005487923379976951</v>
      </c>
      <c r="U51" t="n">
        <v>62.85789415864485</v>
      </c>
    </row>
    <row r="52">
      <c r="B52" t="n">
        <v>1</v>
      </c>
      <c r="C52" t="inlineStr">
        <is>
          <t>---</t>
        </is>
      </c>
      <c r="D52" t="n">
        <v>23</v>
      </c>
      <c r="E52" t="n">
        <v>0.4</v>
      </c>
      <c r="F52" t="inlineStr">
        <is>
          <t>LV Line2.2.1</t>
        </is>
      </c>
      <c r="G52" t="n">
        <v>52</v>
      </c>
      <c r="H52" t="n">
        <v>55</v>
      </c>
      <c r="I52" t="n">
        <v>1</v>
      </c>
      <c r="J52" t="n">
        <v>0.12</v>
      </c>
      <c r="K52" t="n">
        <v>0.105</v>
      </c>
      <c r="L52" t="inlineStr">
        <is>
          <t>---</t>
        </is>
      </c>
      <c r="M52" t="n">
        <v>1</v>
      </c>
      <c r="N52" t="inlineStr">
        <is>
          <t>15-AL1/3-ST1A 0.4</t>
        </is>
      </c>
      <c r="O52" t="n">
        <v>-0.06480065820033235</v>
      </c>
      <c r="P52" t="n">
        <v>0.06283419444015365</v>
      </c>
      <c r="Q52" t="n">
        <v>0.07705665293809721</v>
      </c>
      <c r="R52" t="n">
        <v>-0.06054879233694579</v>
      </c>
      <c r="S52" t="n">
        <v>0.01225599473776487</v>
      </c>
      <c r="T52" t="n">
        <v>0.002285402103207851</v>
      </c>
      <c r="U52" t="n">
        <v>128.2665065459318</v>
      </c>
    </row>
    <row r="53">
      <c r="B53" t="n">
        <v>1</v>
      </c>
      <c r="C53" t="inlineStr">
        <is>
          <t>---</t>
        </is>
      </c>
      <c r="D53" t="n">
        <v>24</v>
      </c>
      <c r="E53" t="n">
        <v>0.4</v>
      </c>
      <c r="F53" t="inlineStr">
        <is>
          <t>LV Line2.2.2</t>
        </is>
      </c>
      <c r="G53" t="n">
        <v>55</v>
      </c>
      <c r="H53" t="n">
        <v>56</v>
      </c>
      <c r="I53" t="n">
        <v>1</v>
      </c>
      <c r="J53" t="n">
        <v>0.12</v>
      </c>
      <c r="K53" t="n">
        <v>0.105</v>
      </c>
      <c r="L53" t="inlineStr">
        <is>
          <t>---</t>
        </is>
      </c>
      <c r="M53" t="n">
        <v>1</v>
      </c>
      <c r="N53" t="inlineStr">
        <is>
          <t>15-AL1/3-ST1A 0.4</t>
        </is>
      </c>
      <c r="O53" t="n">
        <v>-0.03705665293822108</v>
      </c>
      <c r="P53" t="n">
        <v>0.03054879233762759</v>
      </c>
      <c r="Q53" t="n">
        <v>0.03999999999988526</v>
      </c>
      <c r="R53" t="n">
        <v>-0.02999999999962989</v>
      </c>
      <c r="S53" t="n">
        <v>0.00294334706166418</v>
      </c>
      <c r="T53" t="n">
        <v>0.0005487923379976951</v>
      </c>
      <c r="U53" t="n">
        <v>62.85789415864485</v>
      </c>
    </row>
    <row r="54">
      <c r="B54">
        <f>B48+1</f>
        <v/>
      </c>
      <c r="C54" t="n">
        <v>1</v>
      </c>
      <c r="D54" t="n">
        <v>2</v>
      </c>
      <c r="E54" t="n">
        <v>230</v>
      </c>
      <c r="F54" t="inlineStr">
        <is>
          <t>---</t>
        </is>
      </c>
      <c r="G54" t="n">
        <v>0</v>
      </c>
      <c r="H54" t="n">
        <v>4</v>
      </c>
      <c r="I54" t="n">
        <v>1</v>
      </c>
      <c r="J54" t="n">
        <v>1</v>
      </c>
      <c r="K54" t="n">
        <v>99999</v>
      </c>
      <c r="L54" t="n">
        <v>100</v>
      </c>
      <c r="M54" t="n">
        <v>1</v>
      </c>
      <c r="N54" t="inlineStr">
        <is>
          <t>---</t>
        </is>
      </c>
      <c r="O54" t="n">
        <v>-866.868780316546</v>
      </c>
      <c r="P54" t="n">
        <v>120.647142374379</v>
      </c>
      <c r="Q54" t="n">
        <v>873.660317810155</v>
      </c>
      <c r="R54" t="n">
        <v>-53.4057674382871</v>
      </c>
      <c r="S54">
        <f>S48*1.1</f>
        <v/>
      </c>
      <c r="T54" t="n">
        <v>67.2413749360916</v>
      </c>
      <c r="U54">
        <f>U48*1.1</f>
        <v/>
      </c>
    </row>
    <row r="55">
      <c r="B55">
        <f>B49+1</f>
        <v/>
      </c>
      <c r="C55" t="n">
        <v>1</v>
      </c>
      <c r="D55" t="n">
        <v>3</v>
      </c>
      <c r="E55" t="n">
        <v>230</v>
      </c>
      <c r="F55" t="inlineStr">
        <is>
          <t>---</t>
        </is>
      </c>
      <c r="G55" t="n">
        <v>1</v>
      </c>
      <c r="H55" t="n">
        <v>2</v>
      </c>
      <c r="I55" t="n">
        <v>1</v>
      </c>
      <c r="J55" t="n">
        <v>1</v>
      </c>
      <c r="K55" t="n">
        <v>99999</v>
      </c>
      <c r="L55" t="n">
        <v>100</v>
      </c>
      <c r="M55" t="n">
        <v>1</v>
      </c>
      <c r="N55" t="inlineStr">
        <is>
          <t>---</t>
        </is>
      </c>
      <c r="O55" t="n">
        <v>-1076.42881109983</v>
      </c>
      <c r="P55" t="n">
        <v>150.146395034044</v>
      </c>
      <c r="Q55" t="n">
        <v>1084.9120811838</v>
      </c>
      <c r="R55" t="n">
        <v>-65.9876941943137</v>
      </c>
      <c r="S55">
        <f>S49*1.1</f>
        <v/>
      </c>
      <c r="T55" t="n">
        <v>84.1587008397306</v>
      </c>
      <c r="U55">
        <f>U49*1.1</f>
        <v/>
      </c>
    </row>
    <row r="56">
      <c r="B56">
        <f>B50+1</f>
        <v/>
      </c>
      <c r="C56" t="n">
        <v>1</v>
      </c>
      <c r="D56" t="n">
        <v>4</v>
      </c>
      <c r="E56" t="n">
        <v>230</v>
      </c>
      <c r="F56" t="inlineStr">
        <is>
          <t>---</t>
        </is>
      </c>
      <c r="G56" t="n">
        <v>2</v>
      </c>
      <c r="H56" t="n">
        <v>3</v>
      </c>
      <c r="I56" t="n">
        <v>1</v>
      </c>
      <c r="J56" t="n">
        <v>1</v>
      </c>
      <c r="K56" t="n">
        <v>99999</v>
      </c>
      <c r="L56" t="n">
        <v>100</v>
      </c>
      <c r="M56" t="n">
        <v>1</v>
      </c>
      <c r="N56" t="inlineStr">
        <is>
          <t>---</t>
        </is>
      </c>
      <c r="O56" t="n">
        <v>-1285.98884188312</v>
      </c>
      <c r="P56" t="n">
        <v>179.64564769371</v>
      </c>
      <c r="Q56" t="n">
        <v>1296.16384455745</v>
      </c>
      <c r="R56" t="n">
        <v>-78.56962095034039</v>
      </c>
      <c r="S56">
        <f>S50*1.1</f>
        <v/>
      </c>
      <c r="T56" t="n">
        <v>101.07602674337</v>
      </c>
      <c r="U56">
        <f>U50*1.1</f>
        <v/>
      </c>
    </row>
    <row r="57">
      <c r="B57">
        <f>B51+1</f>
        <v/>
      </c>
      <c r="C57" t="n">
        <v>1</v>
      </c>
      <c r="D57" t="n">
        <v>5</v>
      </c>
      <c r="E57" t="n">
        <v>230</v>
      </c>
      <c r="F57" t="inlineStr">
        <is>
          <t>---</t>
        </is>
      </c>
      <c r="G57" t="n">
        <v>3</v>
      </c>
      <c r="H57" t="n">
        <v>4</v>
      </c>
      <c r="I57" t="n">
        <v>1</v>
      </c>
      <c r="J57" t="n">
        <v>1</v>
      </c>
      <c r="K57" t="n">
        <v>0.6024524548065699</v>
      </c>
      <c r="L57" t="n">
        <v>100</v>
      </c>
      <c r="M57" t="n">
        <v>1</v>
      </c>
      <c r="N57" t="inlineStr">
        <is>
          <t>---</t>
        </is>
      </c>
      <c r="O57" t="n">
        <v>-1495.54887266641</v>
      </c>
      <c r="P57" t="n">
        <v>209.144900353375</v>
      </c>
      <c r="Q57" t="n">
        <v>1507.4156079311</v>
      </c>
      <c r="R57" t="n">
        <v>-91.151547706367</v>
      </c>
      <c r="S57">
        <f>S51*1.1</f>
        <v/>
      </c>
      <c r="T57" t="n">
        <v>117.993352647009</v>
      </c>
      <c r="U57">
        <f>U51*1.1</f>
        <v/>
      </c>
    </row>
    <row r="58">
      <c r="B58">
        <f>B52+1</f>
        <v/>
      </c>
      <c r="C58" t="n">
        <v>1</v>
      </c>
      <c r="D58" t="n">
        <v>0</v>
      </c>
      <c r="E58" t="n">
        <v>110</v>
      </c>
      <c r="F58" t="inlineStr">
        <is>
          <t>---</t>
        </is>
      </c>
      <c r="G58" t="n">
        <v>0</v>
      </c>
      <c r="H58" t="n">
        <v>1</v>
      </c>
      <c r="I58" t="n">
        <v>1</v>
      </c>
      <c r="J58" t="n">
        <v>1</v>
      </c>
      <c r="K58" t="n">
        <v>1.00408742467761</v>
      </c>
      <c r="L58" t="n">
        <v>100</v>
      </c>
      <c r="M58" t="n">
        <v>1</v>
      </c>
      <c r="N58" t="inlineStr">
        <is>
          <t>---</t>
        </is>
      </c>
      <c r="O58" t="n">
        <v>-1705.10890344969</v>
      </c>
      <c r="P58" t="n">
        <v>238.644153013041</v>
      </c>
      <c r="Q58" t="n">
        <v>1718.66737130475</v>
      </c>
      <c r="R58" t="n">
        <v>-103.733474462394</v>
      </c>
      <c r="S58">
        <f>S52*1.1</f>
        <v/>
      </c>
      <c r="T58" t="n">
        <v>134.910678550648</v>
      </c>
      <c r="U58">
        <f>U52*1.1</f>
        <v/>
      </c>
    </row>
    <row r="59">
      <c r="B59">
        <f>B53+1</f>
        <v/>
      </c>
      <c r="C59" t="n">
        <v>1</v>
      </c>
      <c r="D59" t="n">
        <v>1</v>
      </c>
      <c r="E59" t="n">
        <v>230</v>
      </c>
      <c r="F59" t="inlineStr">
        <is>
          <t>---</t>
        </is>
      </c>
      <c r="G59" t="n">
        <v>0</v>
      </c>
      <c r="H59" t="n">
        <v>3</v>
      </c>
      <c r="I59" t="n">
        <v>1</v>
      </c>
      <c r="J59" t="n">
        <v>1</v>
      </c>
      <c r="K59" t="n">
        <v>99999</v>
      </c>
      <c r="L59" t="n">
        <v>100</v>
      </c>
      <c r="M59" t="n">
        <v>1</v>
      </c>
      <c r="N59" t="inlineStr">
        <is>
          <t>---</t>
        </is>
      </c>
      <c r="O59" t="n">
        <v>-1914.66893423298</v>
      </c>
      <c r="P59" t="n">
        <v>268.143405672707</v>
      </c>
      <c r="Q59" t="n">
        <v>1929.9191346784</v>
      </c>
      <c r="R59" t="n">
        <v>-116.315401218421</v>
      </c>
      <c r="S59">
        <f>S53*1.1</f>
        <v/>
      </c>
      <c r="T59" t="n">
        <v>151.828004454287</v>
      </c>
      <c r="U59">
        <f>U53*1.1</f>
        <v/>
      </c>
    </row>
    <row r="60">
      <c r="B60">
        <f>B54+1</f>
        <v/>
      </c>
      <c r="C60" t="n">
        <v>1</v>
      </c>
      <c r="D60" t="n">
        <v>2</v>
      </c>
      <c r="E60" t="n">
        <v>230</v>
      </c>
      <c r="F60" t="inlineStr">
        <is>
          <t>---</t>
        </is>
      </c>
      <c r="G60" t="n">
        <v>0</v>
      </c>
      <c r="H60" t="n">
        <v>4</v>
      </c>
      <c r="I60" t="n">
        <v>1</v>
      </c>
      <c r="J60" t="n">
        <v>1</v>
      </c>
      <c r="K60" t="n">
        <v>99999</v>
      </c>
      <c r="L60" t="n">
        <v>100</v>
      </c>
      <c r="M60" t="n">
        <v>1</v>
      </c>
      <c r="N60" t="inlineStr">
        <is>
          <t>---</t>
        </is>
      </c>
      <c r="O60" t="n">
        <v>-2124.22896501627</v>
      </c>
      <c r="P60" t="n">
        <v>297.642658332372</v>
      </c>
      <c r="Q60" t="n">
        <v>2141.17089805206</v>
      </c>
      <c r="R60" t="n">
        <v>-128.897327974447</v>
      </c>
      <c r="S60">
        <f>S54*1.1</f>
        <v/>
      </c>
      <c r="T60" t="n">
        <v>168.745330357926</v>
      </c>
      <c r="U60">
        <f>U54*1.1</f>
        <v/>
      </c>
    </row>
    <row r="61">
      <c r="B61">
        <f>B55+1</f>
        <v/>
      </c>
      <c r="C61" t="n">
        <v>1</v>
      </c>
      <c r="D61" t="n">
        <v>3</v>
      </c>
      <c r="E61" t="n">
        <v>230</v>
      </c>
      <c r="F61" t="inlineStr">
        <is>
          <t>---</t>
        </is>
      </c>
      <c r="G61" t="n">
        <v>1</v>
      </c>
      <c r="H61" t="n">
        <v>2</v>
      </c>
      <c r="I61" t="n">
        <v>1</v>
      </c>
      <c r="J61" t="n">
        <v>1</v>
      </c>
      <c r="K61" t="n">
        <v>99999</v>
      </c>
      <c r="L61" t="n">
        <v>100</v>
      </c>
      <c r="M61" t="n">
        <v>1</v>
      </c>
      <c r="N61" t="inlineStr">
        <is>
          <t>---</t>
        </is>
      </c>
      <c r="O61" t="n">
        <v>-2333.78899579955</v>
      </c>
      <c r="P61" t="n">
        <v>327.141910992038</v>
      </c>
      <c r="Q61" t="n">
        <v>2352.42266142571</v>
      </c>
      <c r="R61" t="n">
        <v>-141.479254730474</v>
      </c>
      <c r="S61">
        <f>S55*1.1</f>
        <v/>
      </c>
      <c r="T61" t="n">
        <v>185.662656261565</v>
      </c>
      <c r="U61">
        <f>U55*1.1</f>
        <v/>
      </c>
    </row>
    <row r="62">
      <c r="B62">
        <f>B56+1</f>
        <v/>
      </c>
      <c r="C62" t="n">
        <v>1</v>
      </c>
      <c r="D62" t="n">
        <v>4</v>
      </c>
      <c r="E62" t="n">
        <v>230</v>
      </c>
      <c r="F62" t="inlineStr">
        <is>
          <t>---</t>
        </is>
      </c>
      <c r="G62" t="n">
        <v>2</v>
      </c>
      <c r="H62" t="n">
        <v>3</v>
      </c>
      <c r="I62" t="n">
        <v>1</v>
      </c>
      <c r="J62" t="n">
        <v>1</v>
      </c>
      <c r="K62" t="n">
        <v>99999</v>
      </c>
      <c r="L62" t="n">
        <v>100</v>
      </c>
      <c r="M62" t="n">
        <v>1</v>
      </c>
      <c r="N62" t="inlineStr">
        <is>
          <t>---</t>
        </is>
      </c>
      <c r="O62" t="n">
        <v>-2543.34902658284</v>
      </c>
      <c r="P62" t="n">
        <v>356.641163651704</v>
      </c>
      <c r="Q62" t="n">
        <v>2563.67442479936</v>
      </c>
      <c r="R62" t="n">
        <v>-154.061181486501</v>
      </c>
      <c r="S62">
        <f>S56*1.1</f>
        <v/>
      </c>
      <c r="T62" t="n">
        <v>202.579982165204</v>
      </c>
      <c r="U62">
        <f>U56*1.1</f>
        <v/>
      </c>
    </row>
    <row r="63">
      <c r="B63">
        <f>B57+1</f>
        <v/>
      </c>
      <c r="C63" t="n">
        <v>1</v>
      </c>
      <c r="D63" t="n">
        <v>5</v>
      </c>
      <c r="E63" t="n">
        <v>230</v>
      </c>
      <c r="F63" t="inlineStr">
        <is>
          <t>---</t>
        </is>
      </c>
      <c r="G63" t="n">
        <v>3</v>
      </c>
      <c r="H63" t="n">
        <v>4</v>
      </c>
      <c r="I63" t="n">
        <v>1</v>
      </c>
      <c r="J63" t="n">
        <v>1</v>
      </c>
      <c r="K63" t="n">
        <v>0.6024524548065699</v>
      </c>
      <c r="L63" t="n">
        <v>100</v>
      </c>
      <c r="M63" t="n">
        <v>1</v>
      </c>
      <c r="N63" t="inlineStr">
        <is>
          <t>---</t>
        </is>
      </c>
      <c r="O63" t="n">
        <v>-2752.90905736613</v>
      </c>
      <c r="P63" t="n">
        <v>386.140416311369</v>
      </c>
      <c r="Q63" t="n">
        <v>2774.92618817301</v>
      </c>
      <c r="R63" t="n">
        <v>-166.643108242527</v>
      </c>
      <c r="S63">
        <f>S57*1.1</f>
        <v/>
      </c>
      <c r="T63" t="n">
        <v>219.497308068843</v>
      </c>
      <c r="U63">
        <f>U57*1.1</f>
        <v/>
      </c>
    </row>
    <row r="64">
      <c r="B64">
        <f>B58+1</f>
        <v/>
      </c>
      <c r="C64" t="n">
        <v>1</v>
      </c>
      <c r="D64" t="n">
        <v>0</v>
      </c>
      <c r="E64" t="n">
        <v>110</v>
      </c>
      <c r="F64" t="inlineStr">
        <is>
          <t>---</t>
        </is>
      </c>
      <c r="G64" t="n">
        <v>0</v>
      </c>
      <c r="H64" t="n">
        <v>1</v>
      </c>
      <c r="I64" t="n">
        <v>1</v>
      </c>
      <c r="J64" t="n">
        <v>1</v>
      </c>
      <c r="K64" t="n">
        <v>1.00408742467761</v>
      </c>
      <c r="L64" t="n">
        <v>100</v>
      </c>
      <c r="M64" t="n">
        <v>1</v>
      </c>
      <c r="N64" t="inlineStr">
        <is>
          <t>---</t>
        </is>
      </c>
      <c r="O64" t="n">
        <v>-2962.46908814941</v>
      </c>
      <c r="P64" t="n">
        <v>415.639668971035</v>
      </c>
      <c r="Q64" t="n">
        <v>2986.17795154666</v>
      </c>
      <c r="R64" t="n">
        <v>-179.225034998554</v>
      </c>
      <c r="S64">
        <f>S58*1.1</f>
        <v/>
      </c>
      <c r="T64" t="n">
        <v>236.414633972482</v>
      </c>
      <c r="U64">
        <f>U58*1.1</f>
        <v/>
      </c>
    </row>
    <row r="65">
      <c r="B65">
        <f>B59+1</f>
        <v/>
      </c>
      <c r="C65" t="n">
        <v>1</v>
      </c>
      <c r="D65" t="n">
        <v>1</v>
      </c>
      <c r="E65" t="n">
        <v>230</v>
      </c>
      <c r="F65" t="inlineStr">
        <is>
          <t>---</t>
        </is>
      </c>
      <c r="G65" t="n">
        <v>0</v>
      </c>
      <c r="H65" t="n">
        <v>3</v>
      </c>
      <c r="I65" t="n">
        <v>1</v>
      </c>
      <c r="J65" t="n">
        <v>1</v>
      </c>
      <c r="K65" t="n">
        <v>99999</v>
      </c>
      <c r="L65" t="n">
        <v>100</v>
      </c>
      <c r="M65" t="n">
        <v>1</v>
      </c>
      <c r="N65" t="inlineStr">
        <is>
          <t>---</t>
        </is>
      </c>
      <c r="O65" t="n">
        <v>-3172.0291189327</v>
      </c>
      <c r="P65" t="n">
        <v>445.138921630701</v>
      </c>
      <c r="Q65" t="n">
        <v>3197.42971492031</v>
      </c>
      <c r="R65" t="n">
        <v>-191.806961754581</v>
      </c>
      <c r="S65">
        <f>S59*1.1</f>
        <v/>
      </c>
      <c r="T65" t="n">
        <v>253.331959876121</v>
      </c>
      <c r="U65">
        <f>U59*1.1</f>
        <v/>
      </c>
    </row>
    <row r="66">
      <c r="B66">
        <f>B60+1</f>
        <v/>
      </c>
      <c r="C66" t="n">
        <v>1</v>
      </c>
      <c r="D66" t="n">
        <v>2</v>
      </c>
      <c r="E66" t="n">
        <v>230</v>
      </c>
      <c r="F66" t="inlineStr">
        <is>
          <t>---</t>
        </is>
      </c>
      <c r="G66" t="n">
        <v>0</v>
      </c>
      <c r="H66" t="n">
        <v>4</v>
      </c>
      <c r="I66" t="n">
        <v>1</v>
      </c>
      <c r="J66" t="n">
        <v>1</v>
      </c>
      <c r="K66" t="n">
        <v>99999</v>
      </c>
      <c r="L66" t="n">
        <v>100</v>
      </c>
      <c r="M66" t="n">
        <v>1</v>
      </c>
      <c r="N66" t="inlineStr">
        <is>
          <t>---</t>
        </is>
      </c>
      <c r="O66" t="n">
        <v>-3381.58914971598</v>
      </c>
      <c r="P66" t="n">
        <v>474.638174290366</v>
      </c>
      <c r="Q66" t="n">
        <v>3408.68147829396</v>
      </c>
      <c r="R66" t="n">
        <v>-204.388888510607</v>
      </c>
      <c r="S66">
        <f>S60*1.1</f>
        <v/>
      </c>
      <c r="T66" t="n">
        <v>270.24928577976</v>
      </c>
      <c r="U66">
        <f>U60*1.1</f>
        <v/>
      </c>
    </row>
    <row r="67">
      <c r="B67">
        <f>B61+1</f>
        <v/>
      </c>
      <c r="C67" t="n">
        <v>1</v>
      </c>
      <c r="D67" t="n">
        <v>3</v>
      </c>
      <c r="E67" t="n">
        <v>230</v>
      </c>
      <c r="F67" t="inlineStr">
        <is>
          <t>---</t>
        </is>
      </c>
      <c r="G67" t="n">
        <v>1</v>
      </c>
      <c r="H67" t="n">
        <v>2</v>
      </c>
      <c r="I67" t="n">
        <v>1</v>
      </c>
      <c r="J67" t="n">
        <v>1</v>
      </c>
      <c r="K67" t="n">
        <v>99999</v>
      </c>
      <c r="L67" t="n">
        <v>100</v>
      </c>
      <c r="M67" t="n">
        <v>1</v>
      </c>
      <c r="N67" t="inlineStr">
        <is>
          <t>---</t>
        </is>
      </c>
      <c r="O67" t="n">
        <v>-3591.14918049927</v>
      </c>
      <c r="P67" t="n">
        <v>504.137426950032</v>
      </c>
      <c r="Q67" t="n">
        <v>3619.93324166761</v>
      </c>
      <c r="R67" t="n">
        <v>-216.970815266634</v>
      </c>
      <c r="S67">
        <f>S61*1.1</f>
        <v/>
      </c>
      <c r="T67" t="n">
        <v>287.166611683399</v>
      </c>
      <c r="U67">
        <f>U61*1.1</f>
        <v/>
      </c>
    </row>
    <row r="68">
      <c r="B68">
        <f>B62+1</f>
        <v/>
      </c>
      <c r="C68" t="n">
        <v>1</v>
      </c>
      <c r="D68" t="n">
        <v>4</v>
      </c>
      <c r="E68" t="n">
        <v>230</v>
      </c>
      <c r="F68" t="inlineStr">
        <is>
          <t>---</t>
        </is>
      </c>
      <c r="G68" t="n">
        <v>2</v>
      </c>
      <c r="H68" t="n">
        <v>3</v>
      </c>
      <c r="I68" t="n">
        <v>1</v>
      </c>
      <c r="J68" t="n">
        <v>1</v>
      </c>
      <c r="K68" t="n">
        <v>99999</v>
      </c>
      <c r="L68" t="n">
        <v>100</v>
      </c>
      <c r="M68" t="n">
        <v>1</v>
      </c>
      <c r="N68" t="inlineStr">
        <is>
          <t>---</t>
        </is>
      </c>
      <c r="O68" t="n">
        <v>-3800.70921128256</v>
      </c>
      <c r="P68" t="n">
        <v>533.636679609698</v>
      </c>
      <c r="Q68" t="n">
        <v>3831.18500504126</v>
      </c>
      <c r="R68" t="n">
        <v>-229.552742022661</v>
      </c>
      <c r="S68">
        <f>S62*1.1</f>
        <v/>
      </c>
      <c r="T68" t="n">
        <v>304.083937587038</v>
      </c>
      <c r="U68">
        <f>U62*1.1</f>
        <v/>
      </c>
    </row>
    <row r="69">
      <c r="B69">
        <f>B63+1</f>
        <v/>
      </c>
      <c r="C69" t="n">
        <v>1</v>
      </c>
      <c r="D69" t="n">
        <v>5</v>
      </c>
      <c r="E69" t="n">
        <v>230</v>
      </c>
      <c r="F69" t="inlineStr">
        <is>
          <t>---</t>
        </is>
      </c>
      <c r="G69" t="n">
        <v>3</v>
      </c>
      <c r="H69" t="n">
        <v>4</v>
      </c>
      <c r="I69" t="n">
        <v>1</v>
      </c>
      <c r="J69" t="n">
        <v>1</v>
      </c>
      <c r="K69" t="n">
        <v>0.6024524548065699</v>
      </c>
      <c r="L69" t="n">
        <v>100</v>
      </c>
      <c r="M69" t="n">
        <v>1</v>
      </c>
      <c r="N69" t="inlineStr">
        <is>
          <t>---</t>
        </is>
      </c>
      <c r="O69" t="n">
        <v>-4010.26924206584</v>
      </c>
      <c r="P69" t="n">
        <v>563.135932269363</v>
      </c>
      <c r="Q69" t="n">
        <v>4042.43676841491</v>
      </c>
      <c r="R69" t="n">
        <v>-242.134668778687</v>
      </c>
      <c r="S69">
        <f>S63*1.1</f>
        <v/>
      </c>
      <c r="T69" t="n">
        <v>321.001263490677</v>
      </c>
      <c r="U69">
        <f>U63*1.1</f>
        <v/>
      </c>
    </row>
  </sheetData>
  <mergeCells count="1">
    <mergeCell ref="B2:U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V56"/>
  <sheetViews>
    <sheetView workbookViewId="0">
      <selection activeCell="V21" sqref="V21"/>
    </sheetView>
  </sheetViews>
  <sheetFormatPr baseColWidth="8" defaultRowHeight="14.4"/>
  <cols>
    <col width="9" customWidth="1" style="14" min="5" max="5"/>
    <col width="11.33203125" customWidth="1" style="14" min="10" max="10"/>
    <col width="9.6640625" customWidth="1" style="14" min="11" max="11"/>
    <col width="10.6640625" customWidth="1" style="14" min="12" max="12"/>
  </cols>
  <sheetData>
    <row r="2" ht="21" customHeight="1" s="14">
      <c r="B2" s="13" t="inlineStr">
        <is>
          <t>Transformers</t>
        </is>
      </c>
    </row>
    <row r="3" ht="58.2" customHeight="1" s="14" thickBot="1">
      <c r="B3" s="4" t="inlineStr">
        <is>
          <t>Time Step</t>
        </is>
      </c>
      <c r="C3" s="1" t="inlineStr">
        <is>
          <t>Zone</t>
        </is>
      </c>
      <c r="D3" s="1" t="inlineStr">
        <is>
          <t>Trafo Index</t>
        </is>
      </c>
      <c r="E3" s="1" t="inlineStr">
        <is>
          <t>Name</t>
        </is>
      </c>
      <c r="F3" s="1" t="inlineStr">
        <is>
          <t>Std Type</t>
        </is>
      </c>
      <c r="G3" s="1" t="inlineStr">
        <is>
          <t>HV Bus</t>
        </is>
      </c>
      <c r="H3" s="1" t="inlineStr">
        <is>
          <t>LV Bus</t>
        </is>
      </c>
      <c r="I3" s="1" t="inlineStr">
        <is>
          <t>High Voltage Side [kV]</t>
        </is>
      </c>
      <c r="J3" s="1" t="inlineStr">
        <is>
          <t xml:space="preserve">Low Voltage Side [kV] </t>
        </is>
      </c>
      <c r="K3" s="1" t="inlineStr">
        <is>
          <t>FE Losses [kW]</t>
        </is>
      </c>
      <c r="L3" s="1" t="inlineStr">
        <is>
          <t>Shift Degree</t>
        </is>
      </c>
      <c r="M3" s="1" t="inlineStr">
        <is>
          <t>Tap Position</t>
        </is>
      </c>
      <c r="N3" s="1" t="inlineStr">
        <is>
          <t>Number of Trafos in Parallel</t>
        </is>
      </c>
      <c r="O3" s="1" t="inlineStr">
        <is>
          <t>In Service</t>
        </is>
      </c>
      <c r="P3" s="1" t="inlineStr">
        <is>
          <t>HV Act. Power [MW]</t>
        </is>
      </c>
      <c r="Q3" s="1" t="inlineStr">
        <is>
          <t>HV React. Power [MVAr]</t>
        </is>
      </c>
      <c r="R3" s="1" t="inlineStr">
        <is>
          <t>LV Act. Power [MW]</t>
        </is>
      </c>
      <c r="S3" s="1" t="inlineStr">
        <is>
          <t>LV React. Power [MVAr]</t>
        </is>
      </c>
      <c r="T3" s="1" t="inlineStr">
        <is>
          <t>Losses [MW]</t>
        </is>
      </c>
      <c r="U3" s="7" t="inlineStr">
        <is>
          <t>Losses [MVAr]</t>
        </is>
      </c>
      <c r="V3" s="7" t="inlineStr">
        <is>
          <t>Loading Percent [%]</t>
        </is>
      </c>
    </row>
    <row r="4">
      <c r="B4" s="5" t="n">
        <v>0</v>
      </c>
      <c r="C4" t="inlineStr">
        <is>
          <t>---</t>
        </is>
      </c>
      <c r="D4" t="n">
        <v>0</v>
      </c>
      <c r="E4" t="inlineStr">
        <is>
          <t>EHV-HV-Trafo</t>
        </is>
      </c>
      <c r="F4" t="inlineStr">
        <is>
          <t>---</t>
        </is>
      </c>
      <c r="G4" t="n">
        <v>13</v>
      </c>
      <c r="H4" t="n">
        <v>17</v>
      </c>
      <c r="I4" t="n">
        <v>380</v>
      </c>
      <c r="J4" t="n">
        <v>110</v>
      </c>
      <c r="K4" t="n">
        <v>0</v>
      </c>
      <c r="L4" t="n">
        <v>0</v>
      </c>
      <c r="M4" t="n">
        <v/>
      </c>
      <c r="N4" t="n">
        <v>1</v>
      </c>
      <c r="O4" t="n">
        <v>1</v>
      </c>
      <c r="P4" t="n">
        <v>128.6457315929805</v>
      </c>
      <c r="Q4" t="n">
        <v>-6.688057460693495</v>
      </c>
      <c r="R4" t="n">
        <v>-128.6144478633742</v>
      </c>
      <c r="S4" t="n">
        <v>10.85910409257162</v>
      </c>
      <c r="T4" t="n">
        <v>0.03128372960634351</v>
      </c>
      <c r="U4" t="n">
        <v>4.171046631878129</v>
      </c>
      <c r="V4" t="n">
        <v>41.68914700651482</v>
      </c>
    </row>
    <row r="5">
      <c r="B5" s="5" t="n">
        <v>0</v>
      </c>
      <c r="C5" t="inlineStr">
        <is>
          <t>---</t>
        </is>
      </c>
      <c r="D5" t="n">
        <v>1</v>
      </c>
      <c r="E5" t="inlineStr">
        <is>
          <t>MV-LV-Trafo</t>
        </is>
      </c>
      <c r="F5" t="inlineStr">
        <is>
          <t>---</t>
        </is>
      </c>
      <c r="G5" t="n">
        <v>41</v>
      </c>
      <c r="H5" t="n">
        <v>45</v>
      </c>
      <c r="I5" t="n">
        <v>10</v>
      </c>
      <c r="J5" t="n">
        <v>0.4</v>
      </c>
      <c r="K5" t="n">
        <v>0.95</v>
      </c>
      <c r="L5" t="n">
        <v>150</v>
      </c>
      <c r="M5" t="n">
        <v>0</v>
      </c>
      <c r="N5" t="n">
        <v>1</v>
      </c>
      <c r="O5" t="n">
        <v>1</v>
      </c>
      <c r="P5" t="n">
        <v>-0.03922169591807537</v>
      </c>
      <c r="Q5" t="n">
        <v>0.4642972247946978</v>
      </c>
      <c r="R5" t="n">
        <v>0.04740265917959442</v>
      </c>
      <c r="S5" t="n">
        <v>-0.4435535723238986</v>
      </c>
      <c r="T5" t="n">
        <v>0.008180963261519056</v>
      </c>
      <c r="U5" t="n">
        <v>0.02074365247079923</v>
      </c>
      <c r="V5" t="n">
        <v>117.2309826173987</v>
      </c>
    </row>
    <row r="6">
      <c r="B6" s="5" t="n">
        <v>1</v>
      </c>
      <c r="C6" t="inlineStr">
        <is>
          <t>---</t>
        </is>
      </c>
      <c r="D6" t="n">
        <v>0</v>
      </c>
      <c r="E6" t="inlineStr">
        <is>
          <t>EHV-HV-Trafo</t>
        </is>
      </c>
      <c r="F6" t="inlineStr">
        <is>
          <t>---</t>
        </is>
      </c>
      <c r="G6" t="n">
        <v>13</v>
      </c>
      <c r="H6" t="n">
        <v>17</v>
      </c>
      <c r="I6" t="n">
        <v>380</v>
      </c>
      <c r="J6" t="n">
        <v>110</v>
      </c>
      <c r="K6" t="n">
        <v>0</v>
      </c>
      <c r="L6" t="n">
        <v>0</v>
      </c>
      <c r="M6" t="n">
        <v/>
      </c>
      <c r="N6" t="n">
        <v>1</v>
      </c>
      <c r="O6" t="n">
        <v>1</v>
      </c>
      <c r="P6" t="n">
        <v>128.6457315929805</v>
      </c>
      <c r="Q6" t="n">
        <v>-6.688057460693495</v>
      </c>
      <c r="R6" t="n">
        <v>-128.6144478633742</v>
      </c>
      <c r="S6" t="n">
        <v>10.85910409257162</v>
      </c>
      <c r="T6" t="n">
        <v>0.03128372960634351</v>
      </c>
      <c r="U6" t="n">
        <v>4.171046631878129</v>
      </c>
      <c r="V6" t="n">
        <v>41.68914700651482</v>
      </c>
    </row>
    <row r="7">
      <c r="B7" s="6" t="n">
        <v>1</v>
      </c>
      <c r="C7" s="6" t="inlineStr">
        <is>
          <t>---</t>
        </is>
      </c>
      <c r="D7" s="6" t="n">
        <v>1</v>
      </c>
      <c r="E7" s="6" t="inlineStr">
        <is>
          <t>MV-LV-Trafo</t>
        </is>
      </c>
      <c r="F7" s="6" t="inlineStr">
        <is>
          <t>---</t>
        </is>
      </c>
      <c r="G7" s="6" t="n">
        <v>41</v>
      </c>
      <c r="H7" s="6" t="n">
        <v>45</v>
      </c>
      <c r="I7" s="6" t="n">
        <v>10</v>
      </c>
      <c r="J7" s="6" t="n">
        <v>0.4</v>
      </c>
      <c r="K7" s="6" t="n">
        <v>0.95</v>
      </c>
      <c r="L7" s="6" t="n">
        <v>150</v>
      </c>
      <c r="M7" s="6" t="n">
        <v>0</v>
      </c>
      <c r="N7" s="6" t="n">
        <v>1</v>
      </c>
      <c r="O7" s="6" t="n">
        <v>1</v>
      </c>
      <c r="P7" s="6" t="n">
        <v>-0.03922169591807537</v>
      </c>
      <c r="Q7" s="6" t="n">
        <v>0.4642972247946978</v>
      </c>
      <c r="R7" s="6" t="n">
        <v>0.04740265917959442</v>
      </c>
      <c r="S7" s="6" t="n">
        <v>-0.4435535723238986</v>
      </c>
      <c r="T7" s="6" t="n">
        <v>0.008180963261519056</v>
      </c>
      <c r="U7" s="6" t="n">
        <v>0.02074365247079923</v>
      </c>
      <c r="V7" s="6" t="n">
        <v>117.2309826173987</v>
      </c>
    </row>
    <row r="8">
      <c r="B8" s="6" t="n">
        <v>1</v>
      </c>
      <c r="C8" s="6" t="inlineStr">
        <is>
          <t>---</t>
        </is>
      </c>
      <c r="D8" s="6" t="n">
        <v>0</v>
      </c>
      <c r="E8" s="6" t="inlineStr">
        <is>
          <t>---</t>
        </is>
      </c>
      <c r="F8" s="6" t="inlineStr">
        <is>
          <t>0.25 MVA 10/0.4 kV</t>
        </is>
      </c>
      <c r="G8" s="6" t="n">
        <v>0</v>
      </c>
      <c r="H8" s="6" t="n">
        <v>1</v>
      </c>
      <c r="I8" s="6" t="n">
        <v>10</v>
      </c>
      <c r="J8" s="6" t="n">
        <v>0.4</v>
      </c>
      <c r="K8" s="6" t="n">
        <v>0.6</v>
      </c>
      <c r="L8" s="6" t="n">
        <v>150</v>
      </c>
      <c r="M8" s="6" t="n">
        <v>0</v>
      </c>
      <c r="N8" s="6" t="n">
        <v>1</v>
      </c>
      <c r="O8" s="6" t="n">
        <v>1</v>
      </c>
      <c r="P8" s="6" t="n">
        <v>0.1236666454897191</v>
      </c>
      <c r="Q8" s="6" t="n">
        <v>0.04340919264951015</v>
      </c>
      <c r="R8" s="6" t="n">
        <v>-0.1222531233879495</v>
      </c>
      <c r="S8" s="6" t="n">
        <v>-0.04079860106284355</v>
      </c>
      <c r="T8" s="6" t="n">
        <v>0.001413522101769524</v>
      </c>
      <c r="U8" s="6" t="n">
        <v>0.0026105915866666</v>
      </c>
      <c r="V8" s="6" t="n">
        <v>52.42563832807324</v>
      </c>
    </row>
    <row r="9">
      <c r="B9" s="6" t="n">
        <v>1</v>
      </c>
      <c r="C9" s="6" t="inlineStr">
        <is>
          <t>---</t>
        </is>
      </c>
      <c r="D9" s="6" t="n">
        <v>0</v>
      </c>
      <c r="E9" s="6" t="inlineStr">
        <is>
          <t>---</t>
        </is>
      </c>
      <c r="F9" s="6" t="inlineStr">
        <is>
          <t>0.25 MVA 10/0.4 kV</t>
        </is>
      </c>
      <c r="G9" s="6" t="n">
        <v>0</v>
      </c>
      <c r="H9" s="6" t="n">
        <v>1</v>
      </c>
      <c r="I9" s="6" t="n">
        <v>10</v>
      </c>
      <c r="J9" s="6" t="n">
        <v>0.4</v>
      </c>
      <c r="K9" s="6" t="n">
        <v>0.6</v>
      </c>
      <c r="L9" s="6" t="n">
        <v>150</v>
      </c>
      <c r="M9" s="6" t="n">
        <v>0</v>
      </c>
      <c r="N9" s="6" t="n">
        <v>1</v>
      </c>
      <c r="O9" s="6" t="n">
        <v>1</v>
      </c>
      <c r="P9" s="6" t="n">
        <v>0.1236666454897191</v>
      </c>
      <c r="Q9" s="6" t="n">
        <v>0.04340919264951015</v>
      </c>
      <c r="R9" s="6" t="n">
        <v>-0.1222531233879495</v>
      </c>
      <c r="S9" s="6" t="n">
        <v>-0.04079860106284355</v>
      </c>
      <c r="T9" s="6" t="n">
        <v>0.001413522101769524</v>
      </c>
      <c r="U9" s="6" t="n">
        <v>0.0026105915866666</v>
      </c>
      <c r="V9" s="6" t="n">
        <v>52.42563832807324</v>
      </c>
    </row>
    <row r="10">
      <c r="B10" s="6" t="n">
        <v>1</v>
      </c>
      <c r="C10" s="6" t="inlineStr">
        <is>
          <t>---</t>
        </is>
      </c>
      <c r="D10" s="6" t="n">
        <v>0</v>
      </c>
      <c r="E10" s="6" t="inlineStr">
        <is>
          <t>---</t>
        </is>
      </c>
      <c r="F10" s="6" t="inlineStr">
        <is>
          <t>0.25 MVA 10/0.4 kV</t>
        </is>
      </c>
      <c r="G10" s="6" t="n">
        <v>0</v>
      </c>
      <c r="H10" s="6" t="n">
        <v>1</v>
      </c>
      <c r="I10" s="6" t="n">
        <v>10</v>
      </c>
      <c r="J10" s="6" t="n">
        <v>0.4</v>
      </c>
      <c r="K10" s="6" t="n">
        <v>0.6</v>
      </c>
      <c r="L10" s="6" t="n">
        <v>150</v>
      </c>
      <c r="M10" s="6" t="n">
        <v>0</v>
      </c>
      <c r="N10" s="6" t="n">
        <v>1</v>
      </c>
      <c r="O10" s="6" t="n">
        <v>1</v>
      </c>
      <c r="P10" s="6" t="n">
        <v>0.1236666454897191</v>
      </c>
      <c r="Q10" s="6" t="n">
        <v>0.04340919264951015</v>
      </c>
      <c r="R10" s="6" t="n">
        <v>-0.1222531233879495</v>
      </c>
      <c r="S10" s="6" t="n">
        <v>-0.04079860106284355</v>
      </c>
      <c r="T10" s="6" t="n">
        <v>0.001413522101769524</v>
      </c>
      <c r="U10" s="6" t="n">
        <v>0.0026105915866666</v>
      </c>
      <c r="V10" s="6" t="n">
        <v>52.42563832807324</v>
      </c>
    </row>
    <row r="11">
      <c r="B11" s="12" t="n">
        <v>1</v>
      </c>
      <c r="C11" s="12" t="inlineStr">
        <is>
          <t>---</t>
        </is>
      </c>
      <c r="D11" s="12" t="n">
        <v>0</v>
      </c>
      <c r="E11" s="12" t="inlineStr">
        <is>
          <t>---</t>
        </is>
      </c>
      <c r="F11" s="12" t="inlineStr">
        <is>
          <t>0.25 MVA 10/0.4 kV</t>
        </is>
      </c>
      <c r="G11" s="12" t="n">
        <v>0</v>
      </c>
      <c r="H11" s="12" t="n">
        <v>1</v>
      </c>
      <c r="I11" s="12" t="n">
        <v>10</v>
      </c>
      <c r="J11" s="12" t="n">
        <v>0.4</v>
      </c>
      <c r="K11" s="12" t="n">
        <v>0.6</v>
      </c>
      <c r="L11" s="12" t="n">
        <v>150</v>
      </c>
      <c r="M11" s="12" t="n">
        <v>0</v>
      </c>
      <c r="N11" s="12" t="n">
        <v>1</v>
      </c>
      <c r="O11" s="12" t="n">
        <v>1</v>
      </c>
      <c r="P11" s="12" t="n">
        <v>0.1236666454897191</v>
      </c>
      <c r="Q11" s="12" t="n">
        <v>0.04340919264951015</v>
      </c>
      <c r="R11" s="12" t="n">
        <v>-0.1222531233879495</v>
      </c>
      <c r="S11" s="12" t="n">
        <v>-0.04079860106284355</v>
      </c>
      <c r="T11" s="12" t="n">
        <v>0.001413522101769524</v>
      </c>
      <c r="U11" s="12" t="n">
        <v>0.0026105915866666</v>
      </c>
      <c r="V11" s="12" t="n">
        <v>52.42563832807324</v>
      </c>
    </row>
    <row r="12">
      <c r="B12">
        <f>B8+1</f>
        <v/>
      </c>
      <c r="C12" s="6" t="inlineStr">
        <is>
          <t>---</t>
        </is>
      </c>
      <c r="D12" s="12" t="n">
        <v>0</v>
      </c>
      <c r="E12" s="6" t="inlineStr">
        <is>
          <t>---</t>
        </is>
      </c>
      <c r="F12" s="6" t="inlineStr">
        <is>
          <t>0.25 MVA 10/0.4 kV</t>
        </is>
      </c>
      <c r="G12" s="12" t="n">
        <v>0</v>
      </c>
      <c r="H12" s="12" t="n">
        <v>1</v>
      </c>
      <c r="I12" s="12" t="n">
        <v>10</v>
      </c>
      <c r="J12" s="12" t="n">
        <v>0.4</v>
      </c>
      <c r="K12" s="12" t="n">
        <v>0.6</v>
      </c>
      <c r="L12" s="12" t="n">
        <v>150</v>
      </c>
      <c r="M12" s="12" t="n">
        <v>0</v>
      </c>
      <c r="N12" s="12" t="n">
        <v>1</v>
      </c>
      <c r="O12" s="12" t="n">
        <v>1</v>
      </c>
      <c r="P12" s="12" t="n">
        <v>0.1236666454897191</v>
      </c>
      <c r="Q12" s="12" t="n">
        <v>0.04340919264951015</v>
      </c>
      <c r="R12" s="12" t="n">
        <v>-0.1222531233879495</v>
      </c>
      <c r="S12" s="12" t="n">
        <v>-0.04079860106284355</v>
      </c>
      <c r="T12" s="12" t="n">
        <v>0.001413522101769524</v>
      </c>
      <c r="U12" s="12" t="n">
        <v>0.0026105915866666</v>
      </c>
      <c r="V12" s="12" t="n">
        <v>52.42563832807324</v>
      </c>
    </row>
    <row r="13">
      <c r="B13">
        <f>B9+1</f>
        <v/>
      </c>
      <c r="C13" s="6" t="inlineStr">
        <is>
          <t>---</t>
        </is>
      </c>
      <c r="D13" s="12" t="n">
        <v>0</v>
      </c>
      <c r="E13" s="6" t="inlineStr">
        <is>
          <t>---</t>
        </is>
      </c>
      <c r="F13" s="6" t="inlineStr">
        <is>
          <t>0.25 MVA 10/0.4 kV</t>
        </is>
      </c>
      <c r="G13" s="12" t="n">
        <v>0</v>
      </c>
      <c r="H13" s="12" t="n">
        <v>1</v>
      </c>
      <c r="I13" s="12" t="n">
        <v>10</v>
      </c>
      <c r="J13" s="12" t="n">
        <v>0.4</v>
      </c>
      <c r="K13" s="12" t="n">
        <v>0.6</v>
      </c>
      <c r="L13" s="12" t="n">
        <v>150</v>
      </c>
      <c r="M13" s="12" t="n">
        <v>0</v>
      </c>
      <c r="N13" s="12" t="n">
        <v>1</v>
      </c>
      <c r="O13" s="12" t="n">
        <v>1</v>
      </c>
      <c r="P13" s="12" t="n">
        <v>0.1236666454897191</v>
      </c>
      <c r="Q13" s="12" t="n">
        <v>0.04340919264951015</v>
      </c>
      <c r="R13" s="12" t="n">
        <v>-0.1222531233879495</v>
      </c>
      <c r="S13" s="12" t="n">
        <v>-0.04079860106284355</v>
      </c>
      <c r="T13" s="12" t="n">
        <v>0.001413522101769524</v>
      </c>
      <c r="U13" s="12" t="n">
        <v>0.0026105915866666</v>
      </c>
      <c r="V13" s="12" t="n">
        <v>52.42563832807324</v>
      </c>
    </row>
    <row r="14">
      <c r="B14">
        <f>B10+1</f>
        <v/>
      </c>
      <c r="C14" s="6" t="inlineStr">
        <is>
          <t>---</t>
        </is>
      </c>
      <c r="D14" s="12" t="n">
        <v>0</v>
      </c>
      <c r="E14" s="6" t="inlineStr">
        <is>
          <t>---</t>
        </is>
      </c>
      <c r="F14" s="6" t="inlineStr">
        <is>
          <t>0.25 MVA 10/0.4 kV</t>
        </is>
      </c>
      <c r="G14" s="12" t="n">
        <v>0</v>
      </c>
      <c r="H14" s="12" t="n">
        <v>1</v>
      </c>
      <c r="I14" s="12" t="n">
        <v>10</v>
      </c>
      <c r="J14" s="12" t="n">
        <v>0.4</v>
      </c>
      <c r="K14" s="12" t="n">
        <v>0.6</v>
      </c>
      <c r="L14" s="12" t="n">
        <v>150</v>
      </c>
      <c r="M14" s="12" t="n">
        <v>0</v>
      </c>
      <c r="N14" s="12" t="n">
        <v>1</v>
      </c>
      <c r="O14" s="12" t="n">
        <v>1</v>
      </c>
      <c r="P14" s="12" t="n">
        <v>0.1236666454897191</v>
      </c>
      <c r="Q14" s="12" t="n">
        <v>0.04340919264951015</v>
      </c>
      <c r="R14" s="12" t="n">
        <v>-0.1222531233879495</v>
      </c>
      <c r="S14" s="12" t="n">
        <v>-0.04079860106284355</v>
      </c>
      <c r="T14" s="12" t="n">
        <v>0.001413522101769524</v>
      </c>
      <c r="U14" s="12" t="n">
        <v>0.0026105915866666</v>
      </c>
      <c r="V14" s="12" t="n">
        <v>52.42563832807324</v>
      </c>
    </row>
    <row r="15">
      <c r="B15">
        <f>B11+1</f>
        <v/>
      </c>
      <c r="C15" s="6" t="inlineStr">
        <is>
          <t>---</t>
        </is>
      </c>
      <c r="D15" s="12" t="n">
        <v>0</v>
      </c>
      <c r="E15" s="6" t="inlineStr">
        <is>
          <t>---</t>
        </is>
      </c>
      <c r="F15" s="6" t="inlineStr">
        <is>
          <t>0.25 MVA 10/0.4 kV</t>
        </is>
      </c>
      <c r="G15" s="12" t="n">
        <v>0</v>
      </c>
      <c r="H15" s="12" t="n">
        <v>1</v>
      </c>
      <c r="I15" s="12" t="n">
        <v>10</v>
      </c>
      <c r="J15" s="12" t="n">
        <v>0.4</v>
      </c>
      <c r="K15" s="12" t="n">
        <v>0.6</v>
      </c>
      <c r="L15" s="12" t="n">
        <v>150</v>
      </c>
      <c r="M15" s="12" t="n">
        <v>0</v>
      </c>
      <c r="N15" s="12" t="n">
        <v>1</v>
      </c>
      <c r="O15" s="12" t="n">
        <v>1</v>
      </c>
      <c r="P15" s="12" t="n">
        <v>0.1236666454897191</v>
      </c>
      <c r="Q15" s="12" t="n">
        <v>0.04340919264951015</v>
      </c>
      <c r="R15" s="12" t="n">
        <v>-0.1222531233879495</v>
      </c>
      <c r="S15" s="12" t="n">
        <v>-0.04079860106284355</v>
      </c>
      <c r="T15" s="12" t="n">
        <v>0.001413522101769524</v>
      </c>
      <c r="U15" s="12" t="n">
        <v>0.0026105915866666</v>
      </c>
      <c r="V15" s="12" t="n">
        <v>52.42563832807324</v>
      </c>
    </row>
    <row r="16">
      <c r="B16" t="n">
        <v>2</v>
      </c>
      <c r="C16" s="6" t="inlineStr">
        <is>
          <t>---</t>
        </is>
      </c>
      <c r="D16" s="12" t="n">
        <v>0</v>
      </c>
      <c r="E16" s="6" t="inlineStr">
        <is>
          <t>---</t>
        </is>
      </c>
      <c r="F16" s="6" t="inlineStr">
        <is>
          <t>0.25 MVA 10/0.4 kV</t>
        </is>
      </c>
      <c r="G16" s="12" t="n">
        <v>0</v>
      </c>
      <c r="H16" s="12" t="n">
        <v>1</v>
      </c>
      <c r="I16" s="12" t="n">
        <v>10</v>
      </c>
      <c r="J16" s="12" t="n">
        <v>0.4</v>
      </c>
      <c r="K16" s="12" t="n">
        <v>0.6</v>
      </c>
      <c r="L16" s="12" t="n">
        <v>150</v>
      </c>
      <c r="M16" s="12" t="n">
        <v>0</v>
      </c>
      <c r="N16" s="12" t="n">
        <v>1</v>
      </c>
      <c r="O16" s="12" t="n">
        <v>1</v>
      </c>
      <c r="P16" s="12" t="n">
        <v>0.1236666454897191</v>
      </c>
      <c r="Q16" s="12" t="n">
        <v>0.04340919264951015</v>
      </c>
      <c r="R16" s="12" t="n">
        <v>-0.1222531233879495</v>
      </c>
      <c r="S16" s="12" t="n">
        <v>-0.04079860106284355</v>
      </c>
      <c r="T16" s="12" t="n">
        <v>0.001413522101769524</v>
      </c>
      <c r="U16" s="12" t="n">
        <v>0.0026105915866666</v>
      </c>
      <c r="V16" s="12" t="n">
        <v>52.42563832807324</v>
      </c>
    </row>
    <row r="17">
      <c r="B17">
        <f>B12+1</f>
        <v/>
      </c>
      <c r="C17" s="6" t="inlineStr">
        <is>
          <t>---</t>
        </is>
      </c>
      <c r="D17" s="12" t="n">
        <v>0</v>
      </c>
      <c r="E17" s="6" t="inlineStr">
        <is>
          <t>---</t>
        </is>
      </c>
      <c r="F17" s="6" t="inlineStr">
        <is>
          <t>0.25 MVA 10/0.4 kV</t>
        </is>
      </c>
      <c r="G17" s="12" t="n">
        <v>0</v>
      </c>
      <c r="H17" s="12" t="n">
        <v>1</v>
      </c>
      <c r="I17" s="12" t="n">
        <v>10</v>
      </c>
      <c r="J17" s="12" t="n">
        <v>0.4</v>
      </c>
      <c r="K17" s="12" t="n">
        <v>0.6</v>
      </c>
      <c r="L17" s="12" t="n">
        <v>150</v>
      </c>
      <c r="M17" s="12" t="n">
        <v>0</v>
      </c>
      <c r="N17" s="12" t="n">
        <v>1</v>
      </c>
      <c r="O17" s="12" t="n">
        <v>1</v>
      </c>
      <c r="P17" s="12" t="n">
        <v>0.1236666454897191</v>
      </c>
      <c r="Q17" s="12" t="n">
        <v>0.04340919264951015</v>
      </c>
      <c r="R17" s="12" t="n">
        <v>-0.1222531233879495</v>
      </c>
      <c r="S17" s="12" t="n">
        <v>-0.04079860106284355</v>
      </c>
      <c r="T17" s="12">
        <f>T12*1.2</f>
        <v/>
      </c>
      <c r="U17" s="12">
        <f>U12*1.2</f>
        <v/>
      </c>
      <c r="V17" s="12" t="n">
        <v>52.42563832807324</v>
      </c>
    </row>
    <row r="18">
      <c r="B18">
        <f>B13+1</f>
        <v/>
      </c>
      <c r="C18" s="6" t="inlineStr">
        <is>
          <t>---</t>
        </is>
      </c>
      <c r="D18" s="12" t="n">
        <v>1</v>
      </c>
      <c r="E18" s="6" t="inlineStr">
        <is>
          <t>---</t>
        </is>
      </c>
      <c r="F18" s="6" t="inlineStr">
        <is>
          <t>0.25 MVA 10/0.4 kV</t>
        </is>
      </c>
      <c r="G18" s="12" t="n">
        <v>0</v>
      </c>
      <c r="H18" s="12" t="n">
        <v>1</v>
      </c>
      <c r="I18" s="12" t="n">
        <v>10</v>
      </c>
      <c r="J18" s="12" t="n">
        <v>0.4</v>
      </c>
      <c r="K18" s="12" t="n">
        <v>0.6</v>
      </c>
      <c r="L18" s="12" t="n">
        <v>150</v>
      </c>
      <c r="M18" s="12" t="n">
        <v>0</v>
      </c>
      <c r="N18" s="12" t="n">
        <v>1</v>
      </c>
      <c r="O18" s="12" t="n">
        <v>1</v>
      </c>
      <c r="P18" s="12" t="n">
        <v>0.1236666454897191</v>
      </c>
      <c r="Q18" s="12" t="n">
        <v>0.04340919264951015</v>
      </c>
      <c r="R18" s="12" t="n">
        <v>-0.1222531233879495</v>
      </c>
      <c r="S18" s="12" t="n">
        <v>-0.04079860106284355</v>
      </c>
      <c r="T18" s="12">
        <f>T13*1.2</f>
        <v/>
      </c>
      <c r="U18" s="12">
        <f>U13*1.2</f>
        <v/>
      </c>
      <c r="V18" s="12" t="n">
        <v>53.4256383280732</v>
      </c>
    </row>
    <row r="19">
      <c r="B19">
        <f>B14+1</f>
        <v/>
      </c>
      <c r="C19" s="6" t="inlineStr">
        <is>
          <t>---</t>
        </is>
      </c>
      <c r="D19" s="12" t="n">
        <v>2</v>
      </c>
      <c r="E19" s="6" t="inlineStr">
        <is>
          <t>---</t>
        </is>
      </c>
      <c r="F19" s="6" t="inlineStr">
        <is>
          <t>0.25 MVA 10/0.4 kV</t>
        </is>
      </c>
      <c r="G19" s="12" t="n">
        <v>0</v>
      </c>
      <c r="H19" s="12" t="n">
        <v>1</v>
      </c>
      <c r="I19" s="12" t="n">
        <v>10</v>
      </c>
      <c r="J19" s="12" t="n">
        <v>0.4</v>
      </c>
      <c r="K19" s="12" t="n">
        <v>0.6</v>
      </c>
      <c r="L19" s="12" t="n">
        <v>150</v>
      </c>
      <c r="M19" s="12" t="n">
        <v>0</v>
      </c>
      <c r="N19" s="12" t="n">
        <v>1</v>
      </c>
      <c r="O19" s="12" t="n">
        <v>1</v>
      </c>
      <c r="P19" s="12" t="n">
        <v>0.1236666454897191</v>
      </c>
      <c r="Q19" s="12" t="n">
        <v>0.04340919264951015</v>
      </c>
      <c r="R19" s="12" t="n">
        <v>-0.1222531233879495</v>
      </c>
      <c r="S19" s="12" t="n">
        <v>-0.04079860106284355</v>
      </c>
      <c r="T19" s="12">
        <f>T14*1.2</f>
        <v/>
      </c>
      <c r="U19" s="12">
        <f>U14*1.2</f>
        <v/>
      </c>
      <c r="V19" s="12" t="n">
        <v>54.4256383280732</v>
      </c>
    </row>
    <row r="20">
      <c r="B20">
        <f>B15+1</f>
        <v/>
      </c>
      <c r="C20" s="6" t="inlineStr">
        <is>
          <t>---</t>
        </is>
      </c>
      <c r="D20" s="12" t="n">
        <v>3</v>
      </c>
      <c r="E20" s="6" t="inlineStr">
        <is>
          <t>---</t>
        </is>
      </c>
      <c r="F20" s="6" t="inlineStr">
        <is>
          <t>0.25 MVA 10/0.4 kV</t>
        </is>
      </c>
      <c r="G20" s="12" t="n">
        <v>0</v>
      </c>
      <c r="H20" s="12" t="n">
        <v>1</v>
      </c>
      <c r="I20" s="12" t="n">
        <v>10</v>
      </c>
      <c r="J20" s="12" t="n">
        <v>0.4</v>
      </c>
      <c r="K20" s="12" t="n">
        <v>0.6</v>
      </c>
      <c r="L20" s="12" t="n">
        <v>150</v>
      </c>
      <c r="M20" s="12" t="n">
        <v>0</v>
      </c>
      <c r="N20" s="12" t="n">
        <v>1</v>
      </c>
      <c r="O20" s="12" t="n">
        <v>1</v>
      </c>
      <c r="P20" s="12" t="n">
        <v>0.1236666454897191</v>
      </c>
      <c r="Q20" s="12" t="n">
        <v>0.04340919264951015</v>
      </c>
      <c r="R20" s="12" t="n">
        <v>-0.1222531233879495</v>
      </c>
      <c r="S20" s="12" t="n">
        <v>-0.04079860106284355</v>
      </c>
      <c r="T20" s="12">
        <f>T15*1.2</f>
        <v/>
      </c>
      <c r="U20" s="12">
        <f>U15*1.2</f>
        <v/>
      </c>
      <c r="V20" s="12" t="n">
        <v>55.4256383280732</v>
      </c>
    </row>
    <row r="21">
      <c r="B21">
        <f>B16+1</f>
        <v/>
      </c>
      <c r="C21" s="6" t="inlineStr">
        <is>
          <t>---</t>
        </is>
      </c>
      <c r="D21" s="12" t="n">
        <v>4</v>
      </c>
      <c r="E21" s="6" t="inlineStr">
        <is>
          <t>---</t>
        </is>
      </c>
      <c r="F21" s="6" t="inlineStr">
        <is>
          <t>0.25 MVA 10/0.4 kV</t>
        </is>
      </c>
      <c r="G21" s="12" t="n">
        <v>0</v>
      </c>
      <c r="H21" s="12" t="n">
        <v>1</v>
      </c>
      <c r="I21" s="12" t="n">
        <v>10</v>
      </c>
      <c r="J21" s="12" t="n">
        <v>0.4</v>
      </c>
      <c r="K21" s="12" t="n">
        <v>0.6</v>
      </c>
      <c r="L21" s="12" t="n">
        <v>150</v>
      </c>
      <c r="M21" s="12" t="n">
        <v>0</v>
      </c>
      <c r="N21" s="12" t="n">
        <v>1</v>
      </c>
      <c r="O21" s="12" t="n">
        <v>1</v>
      </c>
      <c r="P21" s="12" t="n">
        <v>0.1236666454897191</v>
      </c>
      <c r="Q21" s="12" t="n">
        <v>0.04340919264951015</v>
      </c>
      <c r="R21" s="12" t="n">
        <v>-0.1222531233879495</v>
      </c>
      <c r="S21" s="12" t="n">
        <v>-0.04079860106284355</v>
      </c>
      <c r="T21" s="12">
        <f>T16*1.2</f>
        <v/>
      </c>
      <c r="U21" s="12">
        <f>U16*1.2</f>
        <v/>
      </c>
      <c r="V21" s="12" t="n">
        <v>56.4256383280732</v>
      </c>
    </row>
    <row r="22">
      <c r="B22">
        <f>B17+1</f>
        <v/>
      </c>
      <c r="C22" s="6" t="inlineStr">
        <is>
          <t>---</t>
        </is>
      </c>
      <c r="D22" s="12" t="n">
        <v>5</v>
      </c>
      <c r="E22" s="6" t="inlineStr">
        <is>
          <t>---</t>
        </is>
      </c>
      <c r="F22" s="6" t="inlineStr">
        <is>
          <t>0.25 MVA 10/0.4 kV</t>
        </is>
      </c>
      <c r="G22" s="12" t="n">
        <v>0</v>
      </c>
      <c r="H22" s="12" t="n">
        <v>1</v>
      </c>
      <c r="I22" s="12" t="n">
        <v>10</v>
      </c>
      <c r="J22" s="12" t="n">
        <v>0.4</v>
      </c>
      <c r="K22" s="12" t="n">
        <v>0.6</v>
      </c>
      <c r="L22" s="12" t="n">
        <v>150</v>
      </c>
      <c r="M22" s="12" t="n">
        <v>0</v>
      </c>
      <c r="N22" s="12" t="n">
        <v>1</v>
      </c>
      <c r="O22" s="12" t="n">
        <v>1</v>
      </c>
      <c r="P22" s="12" t="n">
        <v>0.1236666454897191</v>
      </c>
      <c r="Q22" s="12" t="n">
        <v>0.04340919264951015</v>
      </c>
      <c r="R22" s="12" t="n">
        <v>-0.1222531233879495</v>
      </c>
      <c r="S22" s="12" t="n">
        <v>-0.04079860106284355</v>
      </c>
      <c r="T22" s="12">
        <f>T17*1.2</f>
        <v/>
      </c>
      <c r="U22" s="12">
        <f>U17*1.2</f>
        <v/>
      </c>
      <c r="V22" s="12" t="n">
        <v>57.4256383280732</v>
      </c>
    </row>
    <row r="23">
      <c r="B23">
        <f>B18+1</f>
        <v/>
      </c>
      <c r="C23" s="6" t="inlineStr">
        <is>
          <t>---</t>
        </is>
      </c>
      <c r="D23" s="12" t="n">
        <v>6</v>
      </c>
      <c r="E23" s="6" t="inlineStr">
        <is>
          <t>---</t>
        </is>
      </c>
      <c r="F23" s="6" t="inlineStr">
        <is>
          <t>0.25 MVA 10/0.4 kV</t>
        </is>
      </c>
      <c r="G23" s="12" t="n">
        <v>0</v>
      </c>
      <c r="H23" s="12" t="n">
        <v>1</v>
      </c>
      <c r="I23" s="12" t="n">
        <v>10</v>
      </c>
      <c r="J23" s="12" t="n">
        <v>0.4</v>
      </c>
      <c r="K23" s="12" t="n">
        <v>0.6</v>
      </c>
      <c r="L23" s="12" t="n">
        <v>150</v>
      </c>
      <c r="M23" s="12" t="n">
        <v>0</v>
      </c>
      <c r="N23" s="12" t="n">
        <v>1</v>
      </c>
      <c r="O23" s="12" t="n">
        <v>1</v>
      </c>
      <c r="P23" s="12" t="n">
        <v>0.1236666454897191</v>
      </c>
      <c r="Q23" s="12" t="n">
        <v>0.04340919264951015</v>
      </c>
      <c r="R23" s="12" t="n">
        <v>-0.1222531233879495</v>
      </c>
      <c r="S23" s="12" t="n">
        <v>-0.04079860106284355</v>
      </c>
      <c r="T23" s="12">
        <f>T18*1.2</f>
        <v/>
      </c>
      <c r="U23" s="12">
        <f>U18*1.2</f>
        <v/>
      </c>
      <c r="V23" s="12" t="n">
        <v>58.4256383280732</v>
      </c>
    </row>
    <row r="24">
      <c r="B24">
        <f>B19+1</f>
        <v/>
      </c>
      <c r="C24" s="6" t="inlineStr">
        <is>
          <t>---</t>
        </is>
      </c>
      <c r="D24" s="12" t="n">
        <v>7</v>
      </c>
      <c r="E24" s="6" t="inlineStr">
        <is>
          <t>---</t>
        </is>
      </c>
      <c r="F24" s="6" t="inlineStr">
        <is>
          <t>0.25 MVA 10/0.4 kV</t>
        </is>
      </c>
      <c r="G24" s="12" t="n">
        <v>0</v>
      </c>
      <c r="H24" s="12" t="n">
        <v>1</v>
      </c>
      <c r="I24" s="12" t="n">
        <v>10</v>
      </c>
      <c r="J24" s="12" t="n">
        <v>0.4</v>
      </c>
      <c r="K24" s="12" t="n">
        <v>0.6</v>
      </c>
      <c r="L24" s="12" t="n">
        <v>150</v>
      </c>
      <c r="M24" s="12" t="n">
        <v>0</v>
      </c>
      <c r="N24" s="12" t="n">
        <v>1</v>
      </c>
      <c r="O24" s="12" t="n">
        <v>1</v>
      </c>
      <c r="P24" s="12" t="n">
        <v>0.1236666454897191</v>
      </c>
      <c r="Q24" s="12" t="n">
        <v>0.04340919264951015</v>
      </c>
      <c r="R24" s="12" t="n">
        <v>-0.1222531233879495</v>
      </c>
      <c r="S24" s="12" t="n">
        <v>-0.04079860106284355</v>
      </c>
      <c r="T24" s="12">
        <f>T19*1.2</f>
        <v/>
      </c>
      <c r="U24" s="12">
        <f>U19*1.2</f>
        <v/>
      </c>
      <c r="V24" s="12" t="n">
        <v>59.4256383280732</v>
      </c>
    </row>
    <row r="25">
      <c r="B25">
        <f>B20+1</f>
        <v/>
      </c>
      <c r="C25" s="6" t="inlineStr">
        <is>
          <t>---</t>
        </is>
      </c>
      <c r="D25" s="12" t="n">
        <v>8</v>
      </c>
      <c r="E25" s="6" t="inlineStr">
        <is>
          <t>---</t>
        </is>
      </c>
      <c r="F25" s="6" t="inlineStr">
        <is>
          <t>0.25 MVA 10/0.4 kV</t>
        </is>
      </c>
      <c r="G25" s="12" t="n">
        <v>0</v>
      </c>
      <c r="H25" s="12" t="n">
        <v>1</v>
      </c>
      <c r="I25" s="12" t="n">
        <v>10</v>
      </c>
      <c r="J25" s="12" t="n">
        <v>0.4</v>
      </c>
      <c r="K25" s="12" t="n">
        <v>0.6</v>
      </c>
      <c r="L25" s="12" t="n">
        <v>150</v>
      </c>
      <c r="M25" s="12" t="n">
        <v>0</v>
      </c>
      <c r="N25" s="12" t="n">
        <v>1</v>
      </c>
      <c r="O25" s="12" t="n">
        <v>1</v>
      </c>
      <c r="P25" s="12" t="n">
        <v>0.1236666454897191</v>
      </c>
      <c r="Q25" s="12" t="n">
        <v>0.04340919264951015</v>
      </c>
      <c r="R25" s="12" t="n">
        <v>-0.1222531233879495</v>
      </c>
      <c r="S25" s="12" t="n">
        <v>-0.04079860106284355</v>
      </c>
      <c r="T25" s="12">
        <f>T20*1.2</f>
        <v/>
      </c>
      <c r="U25" s="12">
        <f>U20*1.2</f>
        <v/>
      </c>
      <c r="V25" s="12" t="n">
        <v>60.4256383280732</v>
      </c>
    </row>
    <row r="26">
      <c r="B26">
        <f>B21+1</f>
        <v/>
      </c>
      <c r="C26" s="6" t="inlineStr">
        <is>
          <t>---</t>
        </is>
      </c>
      <c r="D26" s="12" t="n">
        <v>9</v>
      </c>
      <c r="E26" s="6" t="inlineStr">
        <is>
          <t>---</t>
        </is>
      </c>
      <c r="F26" s="6" t="inlineStr">
        <is>
          <t>0.25 MVA 10/0.4 kV</t>
        </is>
      </c>
      <c r="G26" s="12" t="n">
        <v>0</v>
      </c>
      <c r="H26" s="12" t="n">
        <v>1</v>
      </c>
      <c r="I26" s="12" t="n">
        <v>10</v>
      </c>
      <c r="J26" s="12" t="n">
        <v>0.4</v>
      </c>
      <c r="K26" s="12" t="n">
        <v>0.6</v>
      </c>
      <c r="L26" s="12" t="n">
        <v>150</v>
      </c>
      <c r="M26" s="12" t="n">
        <v>0</v>
      </c>
      <c r="N26" s="12" t="n">
        <v>1</v>
      </c>
      <c r="O26" s="12" t="n">
        <v>1</v>
      </c>
      <c r="P26" s="12" t="n">
        <v>0.1236666454897191</v>
      </c>
      <c r="Q26" s="12" t="n">
        <v>0.04340919264951015</v>
      </c>
      <c r="R26" s="12" t="n">
        <v>-0.1222531233879495</v>
      </c>
      <c r="S26" s="12" t="n">
        <v>-0.04079860106284355</v>
      </c>
      <c r="T26" s="12">
        <f>T21*1.2</f>
        <v/>
      </c>
      <c r="U26" s="12">
        <f>U21*1.2</f>
        <v/>
      </c>
      <c r="V26" s="12" t="n">
        <v>61.4256383280732</v>
      </c>
    </row>
    <row r="27">
      <c r="B27">
        <f>B22+1</f>
        <v/>
      </c>
      <c r="C27" s="6" t="inlineStr">
        <is>
          <t>---</t>
        </is>
      </c>
      <c r="D27" s="12" t="n">
        <v>10</v>
      </c>
      <c r="E27" s="6" t="inlineStr">
        <is>
          <t>---</t>
        </is>
      </c>
      <c r="F27" s="6" t="inlineStr">
        <is>
          <t>0.25 MVA 10/0.4 kV</t>
        </is>
      </c>
      <c r="G27" s="12" t="n">
        <v>0</v>
      </c>
      <c r="H27" s="12" t="n">
        <v>1</v>
      </c>
      <c r="I27" s="12" t="n">
        <v>10</v>
      </c>
      <c r="J27" s="12" t="n">
        <v>0.4</v>
      </c>
      <c r="K27" s="12" t="n">
        <v>0.6</v>
      </c>
      <c r="L27" s="12" t="n">
        <v>150</v>
      </c>
      <c r="M27" s="12" t="n">
        <v>0</v>
      </c>
      <c r="N27" s="12" t="n">
        <v>1</v>
      </c>
      <c r="O27" s="12" t="n">
        <v>1</v>
      </c>
      <c r="P27" s="12" t="n">
        <v>0.1236666454897191</v>
      </c>
      <c r="Q27" s="12" t="n">
        <v>0.04340919264951015</v>
      </c>
      <c r="R27" s="12" t="n">
        <v>-0.1222531233879495</v>
      </c>
      <c r="S27" s="12" t="n">
        <v>-0.04079860106284355</v>
      </c>
      <c r="T27" s="12">
        <f>T22*1.2</f>
        <v/>
      </c>
      <c r="U27" s="12">
        <f>U22*1.2</f>
        <v/>
      </c>
      <c r="V27" s="12" t="n">
        <v>62.4256383280732</v>
      </c>
    </row>
    <row r="28">
      <c r="B28">
        <f>B23+1</f>
        <v/>
      </c>
      <c r="C28" s="6" t="inlineStr">
        <is>
          <t>---</t>
        </is>
      </c>
      <c r="D28" s="12" t="n">
        <v>11</v>
      </c>
      <c r="E28" s="6" t="inlineStr">
        <is>
          <t>---</t>
        </is>
      </c>
      <c r="F28" s="6" t="inlineStr">
        <is>
          <t>0.25 MVA 10/0.4 kV</t>
        </is>
      </c>
      <c r="G28" s="12" t="n">
        <v>0</v>
      </c>
      <c r="H28" s="12" t="n">
        <v>1</v>
      </c>
      <c r="I28" s="12" t="n">
        <v>10</v>
      </c>
      <c r="J28" s="12" t="n">
        <v>0.4</v>
      </c>
      <c r="K28" s="12" t="n">
        <v>0.6</v>
      </c>
      <c r="L28" s="12" t="n">
        <v>150</v>
      </c>
      <c r="M28" s="12" t="n">
        <v>0</v>
      </c>
      <c r="N28" s="12" t="n">
        <v>1</v>
      </c>
      <c r="O28" s="12" t="n">
        <v>1</v>
      </c>
      <c r="P28" s="12" t="n">
        <v>0.1236666454897191</v>
      </c>
      <c r="Q28" s="12" t="n">
        <v>0.04340919264951015</v>
      </c>
      <c r="R28" s="12" t="n">
        <v>-0.1222531233879495</v>
      </c>
      <c r="S28" s="12" t="n">
        <v>-0.04079860106284355</v>
      </c>
      <c r="T28" s="12">
        <f>T23*1.2</f>
        <v/>
      </c>
      <c r="U28" s="12">
        <f>U23*1.2</f>
        <v/>
      </c>
      <c r="V28" s="12" t="n">
        <v>63.4256383280732</v>
      </c>
    </row>
    <row r="29">
      <c r="B29">
        <f>B24+1</f>
        <v/>
      </c>
      <c r="C29" s="6" t="inlineStr">
        <is>
          <t>---</t>
        </is>
      </c>
      <c r="D29" s="12" t="n">
        <v>12</v>
      </c>
      <c r="E29" s="6" t="inlineStr">
        <is>
          <t>---</t>
        </is>
      </c>
      <c r="F29" s="6" t="inlineStr">
        <is>
          <t>0.25 MVA 10/0.4 kV</t>
        </is>
      </c>
      <c r="G29" s="12" t="n">
        <v>0</v>
      </c>
      <c r="H29" s="12" t="n">
        <v>1</v>
      </c>
      <c r="I29" s="12" t="n">
        <v>10</v>
      </c>
      <c r="J29" s="12" t="n">
        <v>0.4</v>
      </c>
      <c r="K29" s="12" t="n">
        <v>0.6</v>
      </c>
      <c r="L29" s="12" t="n">
        <v>150</v>
      </c>
      <c r="M29" s="12" t="n">
        <v>0</v>
      </c>
      <c r="N29" s="12" t="n">
        <v>1</v>
      </c>
      <c r="O29" s="12" t="n">
        <v>1</v>
      </c>
      <c r="P29" s="12" t="n">
        <v>0.1236666454897191</v>
      </c>
      <c r="Q29" s="12" t="n">
        <v>0.04340919264951015</v>
      </c>
      <c r="R29" s="12" t="n">
        <v>-0.1222531233879495</v>
      </c>
      <c r="S29" s="12" t="n">
        <v>-0.04079860106284355</v>
      </c>
      <c r="T29" s="12">
        <f>T24*1.2</f>
        <v/>
      </c>
      <c r="U29" s="12">
        <f>U24*1.2</f>
        <v/>
      </c>
      <c r="V29" s="12" t="n">
        <v>64.42563832807321</v>
      </c>
    </row>
    <row r="30">
      <c r="B30">
        <f>B25+1</f>
        <v/>
      </c>
      <c r="C30" s="6" t="inlineStr">
        <is>
          <t>---</t>
        </is>
      </c>
      <c r="D30" s="12" t="n">
        <v>13</v>
      </c>
      <c r="E30" s="6" t="inlineStr">
        <is>
          <t>---</t>
        </is>
      </c>
      <c r="F30" s="6" t="inlineStr">
        <is>
          <t>0.25 MVA 10/0.4 kV</t>
        </is>
      </c>
      <c r="G30" s="12" t="n">
        <v>0</v>
      </c>
      <c r="H30" s="12" t="n">
        <v>1</v>
      </c>
      <c r="I30" s="12" t="n">
        <v>10</v>
      </c>
      <c r="J30" s="12" t="n">
        <v>0.4</v>
      </c>
      <c r="K30" s="12" t="n">
        <v>0.6</v>
      </c>
      <c r="L30" s="12" t="n">
        <v>150</v>
      </c>
      <c r="M30" s="12" t="n">
        <v>0</v>
      </c>
      <c r="N30" s="12" t="n">
        <v>1</v>
      </c>
      <c r="O30" s="12" t="n">
        <v>1</v>
      </c>
      <c r="P30" s="12" t="n">
        <v>0.1236666454897191</v>
      </c>
      <c r="Q30" s="12" t="n">
        <v>0.04340919264951015</v>
      </c>
      <c r="R30" s="12" t="n">
        <v>-0.1222531233879495</v>
      </c>
      <c r="S30" s="12" t="n">
        <v>-0.04079860106284355</v>
      </c>
      <c r="T30" s="12">
        <f>T25*1.2</f>
        <v/>
      </c>
      <c r="U30" s="12">
        <f>U25*1.2</f>
        <v/>
      </c>
      <c r="V30" s="12" t="n">
        <v>65.42563832807321</v>
      </c>
    </row>
    <row r="31">
      <c r="B31">
        <f>B26+1</f>
        <v/>
      </c>
      <c r="C31" s="6" t="inlineStr">
        <is>
          <t>---</t>
        </is>
      </c>
      <c r="D31" s="12" t="n">
        <v>14</v>
      </c>
      <c r="E31" s="6" t="inlineStr">
        <is>
          <t>---</t>
        </is>
      </c>
      <c r="F31" s="6" t="inlineStr">
        <is>
          <t>0.25 MVA 10/0.4 kV</t>
        </is>
      </c>
      <c r="G31" s="12" t="n">
        <v>0</v>
      </c>
      <c r="H31" s="12" t="n">
        <v>1</v>
      </c>
      <c r="I31" s="12" t="n">
        <v>10</v>
      </c>
      <c r="J31" s="12" t="n">
        <v>0.4</v>
      </c>
      <c r="K31" s="12" t="n">
        <v>0.6</v>
      </c>
      <c r="L31" s="12" t="n">
        <v>150</v>
      </c>
      <c r="M31" s="12" t="n">
        <v>0</v>
      </c>
      <c r="N31" s="12" t="n">
        <v>1</v>
      </c>
      <c r="O31" s="12" t="n">
        <v>1</v>
      </c>
      <c r="P31" s="12" t="n">
        <v>0.1236666454897191</v>
      </c>
      <c r="Q31" s="12" t="n">
        <v>0.04340919264951015</v>
      </c>
      <c r="R31" s="12" t="n">
        <v>-0.1222531233879495</v>
      </c>
      <c r="S31" s="12" t="n">
        <v>-0.04079860106284355</v>
      </c>
      <c r="T31" s="12">
        <f>T26*1.2</f>
        <v/>
      </c>
      <c r="U31" s="12">
        <f>U26*1.2</f>
        <v/>
      </c>
      <c r="V31" s="12" t="n">
        <v>66.42563832807321</v>
      </c>
    </row>
    <row r="32">
      <c r="B32">
        <f>B27+1</f>
        <v/>
      </c>
      <c r="C32" s="6" t="inlineStr">
        <is>
          <t>---</t>
        </is>
      </c>
      <c r="D32" s="12" t="n">
        <v>15</v>
      </c>
      <c r="E32" s="6" t="inlineStr">
        <is>
          <t>---</t>
        </is>
      </c>
      <c r="F32" s="6" t="inlineStr">
        <is>
          <t>0.25 MVA 10/0.4 kV</t>
        </is>
      </c>
      <c r="G32" s="12" t="n">
        <v>0</v>
      </c>
      <c r="H32" s="12" t="n">
        <v>1</v>
      </c>
      <c r="I32" s="12" t="n">
        <v>10</v>
      </c>
      <c r="J32" s="12" t="n">
        <v>0.4</v>
      </c>
      <c r="K32" s="12" t="n">
        <v>0.6</v>
      </c>
      <c r="L32" s="12" t="n">
        <v>150</v>
      </c>
      <c r="M32" s="12" t="n">
        <v>0</v>
      </c>
      <c r="N32" s="12" t="n">
        <v>1</v>
      </c>
      <c r="O32" s="12" t="n">
        <v>1</v>
      </c>
      <c r="P32" s="12" t="n">
        <v>0.1236666454897191</v>
      </c>
      <c r="Q32" s="12" t="n">
        <v>0.04340919264951015</v>
      </c>
      <c r="R32" s="12" t="n">
        <v>-0.1222531233879495</v>
      </c>
      <c r="S32" s="12" t="n">
        <v>-0.04079860106284355</v>
      </c>
      <c r="T32" s="12">
        <f>T27*1.2</f>
        <v/>
      </c>
      <c r="U32" s="12">
        <f>U27*1.2</f>
        <v/>
      </c>
      <c r="V32" s="12" t="n">
        <v>67.42563832807321</v>
      </c>
    </row>
    <row r="33">
      <c r="B33">
        <f>B28+1</f>
        <v/>
      </c>
      <c r="C33" s="6" t="inlineStr">
        <is>
          <t>---</t>
        </is>
      </c>
      <c r="D33" s="12" t="n">
        <v>16</v>
      </c>
      <c r="E33" s="6" t="inlineStr">
        <is>
          <t>---</t>
        </is>
      </c>
      <c r="F33" s="6" t="inlineStr">
        <is>
          <t>0.25 MVA 10/0.4 kV</t>
        </is>
      </c>
      <c r="G33" s="12" t="n">
        <v>0</v>
      </c>
      <c r="H33" s="12" t="n">
        <v>1</v>
      </c>
      <c r="I33" s="12" t="n">
        <v>10</v>
      </c>
      <c r="J33" s="12" t="n">
        <v>0.4</v>
      </c>
      <c r="K33" s="12" t="n">
        <v>0.6</v>
      </c>
      <c r="L33" s="12" t="n">
        <v>150</v>
      </c>
      <c r="M33" s="12" t="n">
        <v>0</v>
      </c>
      <c r="N33" s="12" t="n">
        <v>1</v>
      </c>
      <c r="O33" s="12" t="n">
        <v>1</v>
      </c>
      <c r="P33" s="12" t="n">
        <v>0.1236666454897191</v>
      </c>
      <c r="Q33" s="12" t="n">
        <v>0.04340919264951015</v>
      </c>
      <c r="R33" s="12" t="n">
        <v>-0.1222531233879495</v>
      </c>
      <c r="S33" s="12" t="n">
        <v>-0.04079860106284355</v>
      </c>
      <c r="T33" s="12">
        <f>T28*1.2</f>
        <v/>
      </c>
      <c r="U33" s="12">
        <f>U28*1.2</f>
        <v/>
      </c>
      <c r="V33" s="12" t="n">
        <v>68.42563832807321</v>
      </c>
    </row>
    <row r="34">
      <c r="B34">
        <f>B29+1</f>
        <v/>
      </c>
      <c r="C34" s="6" t="inlineStr">
        <is>
          <t>---</t>
        </is>
      </c>
      <c r="D34" s="12" t="n">
        <v>17</v>
      </c>
      <c r="E34" s="6" t="inlineStr">
        <is>
          <t>---</t>
        </is>
      </c>
      <c r="F34" s="6" t="inlineStr">
        <is>
          <t>0.25 MVA 10/0.4 kV</t>
        </is>
      </c>
      <c r="G34" s="12" t="n">
        <v>0</v>
      </c>
      <c r="H34" s="12" t="n">
        <v>1</v>
      </c>
      <c r="I34" s="12" t="n">
        <v>10</v>
      </c>
      <c r="J34" s="12" t="n">
        <v>0.4</v>
      </c>
      <c r="K34" s="12" t="n">
        <v>0.6</v>
      </c>
      <c r="L34" s="12" t="n">
        <v>150</v>
      </c>
      <c r="M34" s="12" t="n">
        <v>0</v>
      </c>
      <c r="N34" s="12" t="n">
        <v>1</v>
      </c>
      <c r="O34" s="12" t="n">
        <v>1</v>
      </c>
      <c r="P34" s="12" t="n">
        <v>0.1236666454897191</v>
      </c>
      <c r="Q34" s="12" t="n">
        <v>0.04340919264951015</v>
      </c>
      <c r="R34" s="12" t="n">
        <v>-0.1222531233879495</v>
      </c>
      <c r="S34" s="12" t="n">
        <v>-0.04079860106284355</v>
      </c>
      <c r="T34" s="12">
        <f>T29*1.2</f>
        <v/>
      </c>
      <c r="U34" s="12">
        <f>U29*1.2</f>
        <v/>
      </c>
      <c r="V34" s="12" t="n">
        <v>69.42563832807321</v>
      </c>
    </row>
    <row r="35">
      <c r="B35">
        <f>B30+1</f>
        <v/>
      </c>
      <c r="C35" s="6" t="inlineStr">
        <is>
          <t>---</t>
        </is>
      </c>
      <c r="D35" s="12" t="n">
        <v>18</v>
      </c>
      <c r="E35" s="6" t="inlineStr">
        <is>
          <t>---</t>
        </is>
      </c>
      <c r="F35" s="6" t="inlineStr">
        <is>
          <t>0.25 MVA 10/0.4 kV</t>
        </is>
      </c>
      <c r="G35" s="12" t="n">
        <v>0</v>
      </c>
      <c r="H35" s="12" t="n">
        <v>1</v>
      </c>
      <c r="I35" s="12" t="n">
        <v>10</v>
      </c>
      <c r="J35" s="12" t="n">
        <v>0.4</v>
      </c>
      <c r="K35" s="12" t="n">
        <v>0.6</v>
      </c>
      <c r="L35" s="12" t="n">
        <v>150</v>
      </c>
      <c r="M35" s="12" t="n">
        <v>0</v>
      </c>
      <c r="N35" s="12" t="n">
        <v>1</v>
      </c>
      <c r="O35" s="12" t="n">
        <v>1</v>
      </c>
      <c r="P35" s="12" t="n">
        <v>0.1236666454897191</v>
      </c>
      <c r="Q35" s="12" t="n">
        <v>0.04340919264951015</v>
      </c>
      <c r="R35" s="12" t="n">
        <v>-0.1222531233879495</v>
      </c>
      <c r="S35" s="12" t="n">
        <v>-0.04079860106284355</v>
      </c>
      <c r="T35" s="12">
        <f>T30*1.2</f>
        <v/>
      </c>
      <c r="U35" s="12">
        <f>U30*1.2</f>
        <v/>
      </c>
      <c r="V35" s="12" t="n">
        <v>70.42563832807321</v>
      </c>
    </row>
    <row r="36">
      <c r="B36">
        <f>B31+1</f>
        <v/>
      </c>
      <c r="C36" s="6" t="inlineStr">
        <is>
          <t>---</t>
        </is>
      </c>
      <c r="D36" s="12" t="n">
        <v>19</v>
      </c>
      <c r="E36" s="6" t="inlineStr">
        <is>
          <t>---</t>
        </is>
      </c>
      <c r="F36" s="6" t="inlineStr">
        <is>
          <t>0.25 MVA 10/0.4 kV</t>
        </is>
      </c>
      <c r="G36" s="12" t="n">
        <v>0</v>
      </c>
      <c r="H36" s="12" t="n">
        <v>1</v>
      </c>
      <c r="I36" s="12" t="n">
        <v>10</v>
      </c>
      <c r="J36" s="12" t="n">
        <v>0.4</v>
      </c>
      <c r="K36" s="12" t="n">
        <v>0.6</v>
      </c>
      <c r="L36" s="12" t="n">
        <v>150</v>
      </c>
      <c r="M36" s="12" t="n">
        <v>0</v>
      </c>
      <c r="N36" s="12" t="n">
        <v>1</v>
      </c>
      <c r="O36" s="12" t="n">
        <v>1</v>
      </c>
      <c r="P36" s="12" t="n">
        <v>0.1236666454897191</v>
      </c>
      <c r="Q36" s="12" t="n">
        <v>0.04340919264951015</v>
      </c>
      <c r="R36" s="12" t="n">
        <v>-0.1222531233879495</v>
      </c>
      <c r="S36" s="12" t="n">
        <v>-0.04079860106284355</v>
      </c>
      <c r="T36" s="12">
        <f>T31*1.2</f>
        <v/>
      </c>
      <c r="U36" s="12">
        <f>U31*1.2</f>
        <v/>
      </c>
      <c r="V36" s="12" t="n">
        <v>71.42563832807321</v>
      </c>
    </row>
    <row r="37">
      <c r="B37">
        <f>B32+1</f>
        <v/>
      </c>
      <c r="C37" s="6" t="inlineStr">
        <is>
          <t>---</t>
        </is>
      </c>
      <c r="D37" s="12" t="n">
        <v>20</v>
      </c>
      <c r="E37" s="6" t="inlineStr">
        <is>
          <t>---</t>
        </is>
      </c>
      <c r="F37" s="6" t="inlineStr">
        <is>
          <t>0.25 MVA 10/0.4 kV</t>
        </is>
      </c>
      <c r="G37" s="12" t="n">
        <v>0</v>
      </c>
      <c r="H37" s="12" t="n">
        <v>1</v>
      </c>
      <c r="I37" s="12" t="n">
        <v>10</v>
      </c>
      <c r="J37" s="12" t="n">
        <v>0.4</v>
      </c>
      <c r="K37" s="12" t="n">
        <v>0.6</v>
      </c>
      <c r="L37" s="12" t="n">
        <v>150</v>
      </c>
      <c r="M37" s="12" t="n">
        <v>0</v>
      </c>
      <c r="N37" s="12" t="n">
        <v>1</v>
      </c>
      <c r="O37" s="12" t="n">
        <v>1</v>
      </c>
      <c r="P37" s="12" t="n">
        <v>0.1236666454897191</v>
      </c>
      <c r="Q37" s="12" t="n">
        <v>0.04340919264951015</v>
      </c>
      <c r="R37" s="12" t="n">
        <v>-0.1222531233879495</v>
      </c>
      <c r="S37" s="12" t="n">
        <v>-0.04079860106284355</v>
      </c>
      <c r="T37" s="12">
        <f>T32*1.2</f>
        <v/>
      </c>
      <c r="U37" s="12">
        <f>U32*1.2</f>
        <v/>
      </c>
      <c r="V37" s="12" t="n">
        <v>72.42563832807321</v>
      </c>
    </row>
    <row r="38">
      <c r="B38">
        <f>B33+1</f>
        <v/>
      </c>
      <c r="C38" s="6" t="inlineStr">
        <is>
          <t>---</t>
        </is>
      </c>
      <c r="D38" s="12" t="n">
        <v>21</v>
      </c>
      <c r="E38" s="6" t="inlineStr">
        <is>
          <t>---</t>
        </is>
      </c>
      <c r="F38" s="6" t="inlineStr">
        <is>
          <t>0.25 MVA 10/0.4 kV</t>
        </is>
      </c>
      <c r="G38" s="12" t="n">
        <v>0</v>
      </c>
      <c r="H38" s="12" t="n">
        <v>1</v>
      </c>
      <c r="I38" s="12" t="n">
        <v>10</v>
      </c>
      <c r="J38" s="12" t="n">
        <v>0.4</v>
      </c>
      <c r="K38" s="12" t="n">
        <v>0.6</v>
      </c>
      <c r="L38" s="12" t="n">
        <v>150</v>
      </c>
      <c r="M38" s="12" t="n">
        <v>0</v>
      </c>
      <c r="N38" s="12" t="n">
        <v>1</v>
      </c>
      <c r="O38" s="12" t="n">
        <v>1</v>
      </c>
      <c r="P38" s="12" t="n">
        <v>0.1236666454897191</v>
      </c>
      <c r="Q38" s="12" t="n">
        <v>0.04340919264951015</v>
      </c>
      <c r="R38" s="12" t="n">
        <v>-0.1222531233879495</v>
      </c>
      <c r="S38" s="12" t="n">
        <v>-0.04079860106284355</v>
      </c>
      <c r="T38" s="12">
        <f>T33*1.2</f>
        <v/>
      </c>
      <c r="U38" s="12">
        <f>U33*1.2</f>
        <v/>
      </c>
      <c r="V38" s="12" t="n">
        <v>73.42563832807321</v>
      </c>
    </row>
    <row r="39">
      <c r="B39">
        <f>B34+1</f>
        <v/>
      </c>
      <c r="C39" s="6" t="inlineStr">
        <is>
          <t>---</t>
        </is>
      </c>
      <c r="D39" s="12" t="n">
        <v>22</v>
      </c>
      <c r="E39" s="6" t="inlineStr">
        <is>
          <t>---</t>
        </is>
      </c>
      <c r="F39" s="6" t="inlineStr">
        <is>
          <t>0.25 MVA 10/0.4 kV</t>
        </is>
      </c>
      <c r="G39" s="12" t="n">
        <v>0</v>
      </c>
      <c r="H39" s="12" t="n">
        <v>1</v>
      </c>
      <c r="I39" s="12" t="n">
        <v>10</v>
      </c>
      <c r="J39" s="12" t="n">
        <v>0.4</v>
      </c>
      <c r="K39" s="12" t="n">
        <v>0.6</v>
      </c>
      <c r="L39" s="12" t="n">
        <v>150</v>
      </c>
      <c r="M39" s="12" t="n">
        <v>0</v>
      </c>
      <c r="N39" s="12" t="n">
        <v>1</v>
      </c>
      <c r="O39" s="12" t="n">
        <v>1</v>
      </c>
      <c r="P39" s="12" t="n">
        <v>0.1236666454897191</v>
      </c>
      <c r="Q39" s="12" t="n">
        <v>0.04340919264951015</v>
      </c>
      <c r="R39" s="12" t="n">
        <v>-0.1222531233879495</v>
      </c>
      <c r="S39" s="12" t="n">
        <v>-0.04079860106284355</v>
      </c>
      <c r="T39" s="12">
        <f>T34*1.2</f>
        <v/>
      </c>
      <c r="U39" s="12">
        <f>U34*1.2</f>
        <v/>
      </c>
      <c r="V39" s="12" t="n">
        <v>74.42563832807321</v>
      </c>
    </row>
    <row r="40">
      <c r="B40">
        <f>B35+1</f>
        <v/>
      </c>
      <c r="C40" s="6" t="inlineStr">
        <is>
          <t>---</t>
        </is>
      </c>
      <c r="D40" s="12" t="n">
        <v>23</v>
      </c>
      <c r="E40" s="6" t="inlineStr">
        <is>
          <t>---</t>
        </is>
      </c>
      <c r="F40" s="6" t="inlineStr">
        <is>
          <t>0.25 MVA 10/0.4 kV</t>
        </is>
      </c>
      <c r="G40" s="12" t="n">
        <v>0</v>
      </c>
      <c r="H40" s="12" t="n">
        <v>1</v>
      </c>
      <c r="I40" s="12" t="n">
        <v>10</v>
      </c>
      <c r="J40" s="12" t="n">
        <v>0.4</v>
      </c>
      <c r="K40" s="12" t="n">
        <v>0.6</v>
      </c>
      <c r="L40" s="12" t="n">
        <v>150</v>
      </c>
      <c r="M40" s="12" t="n">
        <v>0</v>
      </c>
      <c r="N40" s="12" t="n">
        <v>1</v>
      </c>
      <c r="O40" s="12" t="n">
        <v>1</v>
      </c>
      <c r="P40" s="12" t="n">
        <v>0.1236666454897191</v>
      </c>
      <c r="Q40" s="12" t="n">
        <v>0.04340919264951015</v>
      </c>
      <c r="R40" s="12" t="n">
        <v>-0.1222531233879495</v>
      </c>
      <c r="S40" s="12" t="n">
        <v>-0.04079860106284355</v>
      </c>
      <c r="T40" s="12">
        <f>T35*1.2</f>
        <v/>
      </c>
      <c r="U40" s="12">
        <f>U35*1.2</f>
        <v/>
      </c>
      <c r="V40" s="12" t="n">
        <v>75.42563832807321</v>
      </c>
    </row>
    <row r="41">
      <c r="B41">
        <f>B36+1</f>
        <v/>
      </c>
      <c r="C41" s="6" t="inlineStr">
        <is>
          <t>---</t>
        </is>
      </c>
      <c r="D41" s="12" t="n">
        <v>24</v>
      </c>
      <c r="E41" s="6" t="inlineStr">
        <is>
          <t>---</t>
        </is>
      </c>
      <c r="F41" s="6" t="inlineStr">
        <is>
          <t>0.25 MVA 10/0.4 kV</t>
        </is>
      </c>
      <c r="G41" s="12" t="n">
        <v>0</v>
      </c>
      <c r="H41" s="12" t="n">
        <v>1</v>
      </c>
      <c r="I41" s="12" t="n">
        <v>10</v>
      </c>
      <c r="J41" s="12" t="n">
        <v>0.4</v>
      </c>
      <c r="K41" s="12" t="n">
        <v>0.6</v>
      </c>
      <c r="L41" s="12" t="n">
        <v>150</v>
      </c>
      <c r="M41" s="12" t="n">
        <v>0</v>
      </c>
      <c r="N41" s="12" t="n">
        <v>1</v>
      </c>
      <c r="O41" s="12" t="n">
        <v>1</v>
      </c>
      <c r="P41" s="12" t="n">
        <v>0.1236666454897191</v>
      </c>
      <c r="Q41" s="12" t="n">
        <v>0.04340919264951015</v>
      </c>
      <c r="R41" s="12" t="n">
        <v>-0.1222531233879495</v>
      </c>
      <c r="S41" s="12" t="n">
        <v>-0.04079860106284355</v>
      </c>
      <c r="T41" s="12">
        <f>T36*1.2</f>
        <v/>
      </c>
      <c r="U41" s="12">
        <f>U36*1.2</f>
        <v/>
      </c>
      <c r="V41" s="12" t="n">
        <v>76.42563832807321</v>
      </c>
    </row>
    <row r="42">
      <c r="B42">
        <f>B37+1</f>
        <v/>
      </c>
      <c r="C42" s="6" t="inlineStr">
        <is>
          <t>---</t>
        </is>
      </c>
      <c r="D42" s="12" t="n">
        <v>25</v>
      </c>
      <c r="E42" s="6" t="inlineStr">
        <is>
          <t>---</t>
        </is>
      </c>
      <c r="F42" s="6" t="inlineStr">
        <is>
          <t>0.25 MVA 10/0.4 kV</t>
        </is>
      </c>
      <c r="G42" s="12" t="n">
        <v>0</v>
      </c>
      <c r="H42" s="12" t="n">
        <v>1</v>
      </c>
      <c r="I42" s="12" t="n">
        <v>10</v>
      </c>
      <c r="J42" s="12" t="n">
        <v>0.4</v>
      </c>
      <c r="K42" s="12" t="n">
        <v>0.6</v>
      </c>
      <c r="L42" s="12" t="n">
        <v>150</v>
      </c>
      <c r="M42" s="12" t="n">
        <v>0</v>
      </c>
      <c r="N42" s="12" t="n">
        <v>1</v>
      </c>
      <c r="O42" s="12" t="n">
        <v>1</v>
      </c>
      <c r="P42" s="12" t="n">
        <v>0.1236666454897191</v>
      </c>
      <c r="Q42" s="12" t="n">
        <v>0.04340919264951015</v>
      </c>
      <c r="R42" s="12" t="n">
        <v>-0.1222531233879495</v>
      </c>
      <c r="S42" s="12" t="n">
        <v>-0.04079860106284355</v>
      </c>
      <c r="T42" s="12">
        <f>T37*1.2</f>
        <v/>
      </c>
      <c r="U42" s="12">
        <f>U37*1.2</f>
        <v/>
      </c>
      <c r="V42" s="12" t="n">
        <v>77.42563832807321</v>
      </c>
    </row>
    <row r="43">
      <c r="B43">
        <f>B38+1</f>
        <v/>
      </c>
      <c r="C43" s="6" t="inlineStr">
        <is>
          <t>---</t>
        </is>
      </c>
      <c r="D43" s="12" t="n">
        <v>26</v>
      </c>
      <c r="E43" s="6" t="inlineStr">
        <is>
          <t>---</t>
        </is>
      </c>
      <c r="F43" s="6" t="inlineStr">
        <is>
          <t>0.25 MVA 10/0.4 kV</t>
        </is>
      </c>
      <c r="G43" s="12" t="n">
        <v>0</v>
      </c>
      <c r="H43" s="12" t="n">
        <v>1</v>
      </c>
      <c r="I43" s="12" t="n">
        <v>10</v>
      </c>
      <c r="J43" s="12" t="n">
        <v>0.4</v>
      </c>
      <c r="K43" s="12" t="n">
        <v>0.6</v>
      </c>
      <c r="L43" s="12" t="n">
        <v>150</v>
      </c>
      <c r="M43" s="12" t="n">
        <v>0</v>
      </c>
      <c r="N43" s="12" t="n">
        <v>1</v>
      </c>
      <c r="O43" s="12" t="n">
        <v>1</v>
      </c>
      <c r="P43" s="12" t="n">
        <v>0.1236666454897191</v>
      </c>
      <c r="Q43" s="12" t="n">
        <v>0.04340919264951015</v>
      </c>
      <c r="R43" s="12" t="n">
        <v>-0.1222531233879495</v>
      </c>
      <c r="S43" s="12" t="n">
        <v>-0.04079860106284355</v>
      </c>
      <c r="T43" s="12">
        <f>T38*1.2</f>
        <v/>
      </c>
      <c r="U43" s="12">
        <f>U38*1.2</f>
        <v/>
      </c>
      <c r="V43" s="12" t="n">
        <v>78.42563832807321</v>
      </c>
    </row>
    <row r="44">
      <c r="B44">
        <f>B39+1</f>
        <v/>
      </c>
      <c r="C44" s="6" t="inlineStr">
        <is>
          <t>---</t>
        </is>
      </c>
      <c r="D44" s="12" t="n">
        <v>27</v>
      </c>
      <c r="E44" s="6" t="inlineStr">
        <is>
          <t>---</t>
        </is>
      </c>
      <c r="F44" s="6" t="inlineStr">
        <is>
          <t>0.25 MVA 10/0.4 kV</t>
        </is>
      </c>
      <c r="G44" s="12" t="n">
        <v>0</v>
      </c>
      <c r="H44" s="12" t="n">
        <v>1</v>
      </c>
      <c r="I44" s="12" t="n">
        <v>10</v>
      </c>
      <c r="J44" s="12" t="n">
        <v>0.4</v>
      </c>
      <c r="K44" s="12" t="n">
        <v>0.6</v>
      </c>
      <c r="L44" s="12" t="n">
        <v>150</v>
      </c>
      <c r="M44" s="12" t="n">
        <v>0</v>
      </c>
      <c r="N44" s="12" t="n">
        <v>1</v>
      </c>
      <c r="O44" s="12" t="n">
        <v>1</v>
      </c>
      <c r="P44" s="12" t="n">
        <v>0.1236666454897191</v>
      </c>
      <c r="Q44" s="12" t="n">
        <v>0.04340919264951015</v>
      </c>
      <c r="R44" s="12" t="n">
        <v>-0.1222531233879495</v>
      </c>
      <c r="S44" s="12" t="n">
        <v>-0.04079860106284355</v>
      </c>
      <c r="T44" s="12">
        <f>T39*1.2</f>
        <v/>
      </c>
      <c r="U44" s="12">
        <f>U39*1.2</f>
        <v/>
      </c>
      <c r="V44" s="12" t="n">
        <v>79.42563832807321</v>
      </c>
    </row>
    <row r="45">
      <c r="B45">
        <f>B40+1</f>
        <v/>
      </c>
      <c r="C45" s="6" t="inlineStr">
        <is>
          <t>---</t>
        </is>
      </c>
      <c r="D45" s="12" t="n">
        <v>28</v>
      </c>
      <c r="E45" s="6" t="inlineStr">
        <is>
          <t>---</t>
        </is>
      </c>
      <c r="F45" s="6" t="inlineStr">
        <is>
          <t>0.25 MVA 10/0.4 kV</t>
        </is>
      </c>
      <c r="G45" s="12" t="n">
        <v>0</v>
      </c>
      <c r="H45" s="12" t="n">
        <v>1</v>
      </c>
      <c r="I45" s="12" t="n">
        <v>10</v>
      </c>
      <c r="J45" s="12" t="n">
        <v>0.4</v>
      </c>
      <c r="K45" s="12" t="n">
        <v>0.6</v>
      </c>
      <c r="L45" s="12" t="n">
        <v>150</v>
      </c>
      <c r="M45" s="12" t="n">
        <v>0</v>
      </c>
      <c r="N45" s="12" t="n">
        <v>1</v>
      </c>
      <c r="O45" s="12" t="n">
        <v>1</v>
      </c>
      <c r="P45" s="12" t="n">
        <v>0.1236666454897191</v>
      </c>
      <c r="Q45" s="12" t="n">
        <v>0.04340919264951015</v>
      </c>
      <c r="R45" s="12" t="n">
        <v>-0.1222531233879495</v>
      </c>
      <c r="S45" s="12" t="n">
        <v>-0.04079860106284355</v>
      </c>
      <c r="T45" s="12">
        <f>T40*1.2</f>
        <v/>
      </c>
      <c r="U45" s="12">
        <f>U40*1.2</f>
        <v/>
      </c>
      <c r="V45" s="12" t="n">
        <v>80.42563832807321</v>
      </c>
    </row>
    <row r="46">
      <c r="B46">
        <f>B41+1</f>
        <v/>
      </c>
      <c r="C46" s="6" t="inlineStr">
        <is>
          <t>---</t>
        </is>
      </c>
      <c r="D46" s="12" t="n">
        <v>29</v>
      </c>
      <c r="E46" s="6" t="inlineStr">
        <is>
          <t>---</t>
        </is>
      </c>
      <c r="F46" s="6" t="inlineStr">
        <is>
          <t>0.25 MVA 10/0.4 kV</t>
        </is>
      </c>
      <c r="G46" s="12" t="n">
        <v>0</v>
      </c>
      <c r="H46" s="12" t="n">
        <v>1</v>
      </c>
      <c r="I46" s="12" t="n">
        <v>10</v>
      </c>
      <c r="J46" s="12" t="n">
        <v>0.4</v>
      </c>
      <c r="K46" s="12" t="n">
        <v>0.6</v>
      </c>
      <c r="L46" s="12" t="n">
        <v>150</v>
      </c>
      <c r="M46" s="12" t="n">
        <v>0</v>
      </c>
      <c r="N46" s="12" t="n">
        <v>1</v>
      </c>
      <c r="O46" s="12" t="n">
        <v>1</v>
      </c>
      <c r="P46" s="12" t="n">
        <v>0.1236666454897191</v>
      </c>
      <c r="Q46" s="12" t="n">
        <v>0.04340919264951015</v>
      </c>
      <c r="R46" s="12" t="n">
        <v>-0.1222531233879495</v>
      </c>
      <c r="S46" s="12" t="n">
        <v>-0.04079860106284355</v>
      </c>
      <c r="T46" s="12">
        <f>T41*1.2</f>
        <v/>
      </c>
      <c r="U46" s="12">
        <f>U41*1.2</f>
        <v/>
      </c>
      <c r="V46" s="12" t="n">
        <v>81.42563832807321</v>
      </c>
    </row>
    <row r="47">
      <c r="B47">
        <f>B42+1</f>
        <v/>
      </c>
      <c r="C47" s="6" t="inlineStr">
        <is>
          <t>---</t>
        </is>
      </c>
      <c r="D47" s="12" t="n">
        <v>30</v>
      </c>
      <c r="E47" s="6" t="inlineStr">
        <is>
          <t>---</t>
        </is>
      </c>
      <c r="F47" s="6" t="inlineStr">
        <is>
          <t>0.25 MVA 10/0.4 kV</t>
        </is>
      </c>
      <c r="G47" s="12" t="n">
        <v>0</v>
      </c>
      <c r="H47" s="12" t="n">
        <v>1</v>
      </c>
      <c r="I47" s="12" t="n">
        <v>10</v>
      </c>
      <c r="J47" s="12" t="n">
        <v>0.4</v>
      </c>
      <c r="K47" s="12" t="n">
        <v>0.6</v>
      </c>
      <c r="L47" s="12" t="n">
        <v>150</v>
      </c>
      <c r="M47" s="12" t="n">
        <v>0</v>
      </c>
      <c r="N47" s="12" t="n">
        <v>1</v>
      </c>
      <c r="O47" s="12" t="n">
        <v>1</v>
      </c>
      <c r="P47" s="12" t="n">
        <v>0.1236666454897191</v>
      </c>
      <c r="Q47" s="12" t="n">
        <v>0.04340919264951015</v>
      </c>
      <c r="R47" s="12" t="n">
        <v>-0.1222531233879495</v>
      </c>
      <c r="S47" s="12" t="n">
        <v>-0.04079860106284355</v>
      </c>
      <c r="T47" s="12">
        <f>T42*1.2</f>
        <v/>
      </c>
      <c r="U47" s="12">
        <f>U42*1.2</f>
        <v/>
      </c>
      <c r="V47" s="12" t="n">
        <v>82.42563832807321</v>
      </c>
    </row>
    <row r="48">
      <c r="B48">
        <f>B43+1</f>
        <v/>
      </c>
      <c r="C48" s="6" t="inlineStr">
        <is>
          <t>---</t>
        </is>
      </c>
      <c r="D48" s="12" t="n">
        <v>31</v>
      </c>
      <c r="E48" s="6" t="inlineStr">
        <is>
          <t>---</t>
        </is>
      </c>
      <c r="F48" s="6" t="inlineStr">
        <is>
          <t>0.25 MVA 10/0.4 kV</t>
        </is>
      </c>
      <c r="G48" s="12" t="n">
        <v>0</v>
      </c>
      <c r="H48" s="12" t="n">
        <v>1</v>
      </c>
      <c r="I48" s="12" t="n">
        <v>10</v>
      </c>
      <c r="J48" s="12" t="n">
        <v>0.4</v>
      </c>
      <c r="K48" s="12" t="n">
        <v>0.6</v>
      </c>
      <c r="L48" s="12" t="n">
        <v>150</v>
      </c>
      <c r="M48" s="12" t="n">
        <v>0</v>
      </c>
      <c r="N48" s="12" t="n">
        <v>1</v>
      </c>
      <c r="O48" s="12" t="n">
        <v>1</v>
      </c>
      <c r="P48" s="12" t="n">
        <v>0.1236666454897191</v>
      </c>
      <c r="Q48" s="12" t="n">
        <v>0.04340919264951015</v>
      </c>
      <c r="R48" s="12" t="n">
        <v>-0.1222531233879495</v>
      </c>
      <c r="S48" s="12" t="n">
        <v>-0.04079860106284355</v>
      </c>
      <c r="T48" s="12">
        <f>T43*1.2</f>
        <v/>
      </c>
      <c r="U48" s="12">
        <f>U43*1.2</f>
        <v/>
      </c>
      <c r="V48" s="12" t="n">
        <v>83.42563832807321</v>
      </c>
    </row>
    <row r="49">
      <c r="B49">
        <f>B44+1</f>
        <v/>
      </c>
      <c r="C49" s="6" t="inlineStr">
        <is>
          <t>---</t>
        </is>
      </c>
      <c r="D49" s="12" t="n">
        <v>32</v>
      </c>
      <c r="E49" s="6" t="inlineStr">
        <is>
          <t>---</t>
        </is>
      </c>
      <c r="F49" s="6" t="inlineStr">
        <is>
          <t>0.25 MVA 10/0.4 kV</t>
        </is>
      </c>
      <c r="G49" s="12" t="n">
        <v>0</v>
      </c>
      <c r="H49" s="12" t="n">
        <v>1</v>
      </c>
      <c r="I49" s="12" t="n">
        <v>10</v>
      </c>
      <c r="J49" s="12" t="n">
        <v>0.4</v>
      </c>
      <c r="K49" s="12" t="n">
        <v>0.6</v>
      </c>
      <c r="L49" s="12" t="n">
        <v>150</v>
      </c>
      <c r="M49" s="12" t="n">
        <v>0</v>
      </c>
      <c r="N49" s="12" t="n">
        <v>1</v>
      </c>
      <c r="O49" s="12" t="n">
        <v>1</v>
      </c>
      <c r="P49" s="12" t="n">
        <v>0.1236666454897191</v>
      </c>
      <c r="Q49" s="12" t="n">
        <v>0.04340919264951015</v>
      </c>
      <c r="R49" s="12" t="n">
        <v>-0.1222531233879495</v>
      </c>
      <c r="S49" s="12" t="n">
        <v>-0.04079860106284355</v>
      </c>
      <c r="T49" s="12">
        <f>T44*1.2</f>
        <v/>
      </c>
      <c r="U49" s="12">
        <f>U44*1.2</f>
        <v/>
      </c>
      <c r="V49" s="12" t="n">
        <v>84.42563832807321</v>
      </c>
    </row>
    <row r="50">
      <c r="B50">
        <f>B45+1</f>
        <v/>
      </c>
      <c r="C50" s="6" t="inlineStr">
        <is>
          <t>---</t>
        </is>
      </c>
      <c r="D50" s="12" t="n">
        <v>33</v>
      </c>
      <c r="E50" s="6" t="inlineStr">
        <is>
          <t>---</t>
        </is>
      </c>
      <c r="F50" s="6" t="inlineStr">
        <is>
          <t>0.25 MVA 10/0.4 kV</t>
        </is>
      </c>
      <c r="G50" s="12" t="n">
        <v>0</v>
      </c>
      <c r="H50" s="12" t="n">
        <v>1</v>
      </c>
      <c r="I50" s="12" t="n">
        <v>10</v>
      </c>
      <c r="J50" s="12" t="n">
        <v>0.4</v>
      </c>
      <c r="K50" s="12" t="n">
        <v>0.6</v>
      </c>
      <c r="L50" s="12" t="n">
        <v>150</v>
      </c>
      <c r="M50" s="12" t="n">
        <v>0</v>
      </c>
      <c r="N50" s="12" t="n">
        <v>1</v>
      </c>
      <c r="O50" s="12" t="n">
        <v>1</v>
      </c>
      <c r="P50" s="12" t="n">
        <v>0.1236666454897191</v>
      </c>
      <c r="Q50" s="12" t="n">
        <v>0.04340919264951015</v>
      </c>
      <c r="R50" s="12" t="n">
        <v>-0.1222531233879495</v>
      </c>
      <c r="S50" s="12" t="n">
        <v>-0.04079860106284355</v>
      </c>
      <c r="T50" s="12">
        <f>T45*1.2</f>
        <v/>
      </c>
      <c r="U50" s="12">
        <f>U45*1.2</f>
        <v/>
      </c>
      <c r="V50" s="12" t="n">
        <v>85.42563832807321</v>
      </c>
    </row>
    <row r="51">
      <c r="B51">
        <f>B46+1</f>
        <v/>
      </c>
      <c r="C51" s="6" t="inlineStr">
        <is>
          <t>---</t>
        </is>
      </c>
      <c r="D51" s="12" t="n">
        <v>34</v>
      </c>
      <c r="E51" s="6" t="inlineStr">
        <is>
          <t>---</t>
        </is>
      </c>
      <c r="F51" s="6" t="inlineStr">
        <is>
          <t>0.25 MVA 10/0.4 kV</t>
        </is>
      </c>
      <c r="G51" s="12" t="n">
        <v>0</v>
      </c>
      <c r="H51" s="12" t="n">
        <v>1</v>
      </c>
      <c r="I51" s="12" t="n">
        <v>10</v>
      </c>
      <c r="J51" s="12" t="n">
        <v>0.4</v>
      </c>
      <c r="K51" s="12" t="n">
        <v>0.6</v>
      </c>
      <c r="L51" s="12" t="n">
        <v>150</v>
      </c>
      <c r="M51" s="12" t="n">
        <v>0</v>
      </c>
      <c r="N51" s="12" t="n">
        <v>1</v>
      </c>
      <c r="O51" s="12" t="n">
        <v>1</v>
      </c>
      <c r="P51" s="12" t="n">
        <v>0.1236666454897191</v>
      </c>
      <c r="Q51" s="12" t="n">
        <v>0.04340919264951015</v>
      </c>
      <c r="R51" s="12" t="n">
        <v>-0.1222531233879495</v>
      </c>
      <c r="S51" s="12" t="n">
        <v>-0.04079860106284355</v>
      </c>
      <c r="T51" s="12">
        <f>T46*1.2</f>
        <v/>
      </c>
      <c r="U51" s="12">
        <f>U46*1.2</f>
        <v/>
      </c>
      <c r="V51" s="12" t="n">
        <v>86.42563832807321</v>
      </c>
    </row>
    <row r="52">
      <c r="B52">
        <f>B47+1</f>
        <v/>
      </c>
      <c r="C52" s="6" t="inlineStr">
        <is>
          <t>---</t>
        </is>
      </c>
      <c r="D52" s="12" t="n">
        <v>35</v>
      </c>
      <c r="E52" s="6" t="inlineStr">
        <is>
          <t>---</t>
        </is>
      </c>
      <c r="F52" s="6" t="inlineStr">
        <is>
          <t>0.25 MVA 10/0.4 kV</t>
        </is>
      </c>
      <c r="G52" s="12" t="n">
        <v>0</v>
      </c>
      <c r="H52" s="12" t="n">
        <v>1</v>
      </c>
      <c r="I52" s="12" t="n">
        <v>10</v>
      </c>
      <c r="J52" s="12" t="n">
        <v>0.4</v>
      </c>
      <c r="K52" s="12" t="n">
        <v>0.6</v>
      </c>
      <c r="L52" s="12" t="n">
        <v>150</v>
      </c>
      <c r="M52" s="12" t="n">
        <v>0</v>
      </c>
      <c r="N52" s="12" t="n">
        <v>1</v>
      </c>
      <c r="O52" s="12" t="n">
        <v>1</v>
      </c>
      <c r="P52" s="12" t="n">
        <v>0.1236666454897191</v>
      </c>
      <c r="Q52" s="12" t="n">
        <v>0.04340919264951015</v>
      </c>
      <c r="R52" s="12" t="n">
        <v>-0.1222531233879495</v>
      </c>
      <c r="S52" s="12" t="n">
        <v>-0.04079860106284355</v>
      </c>
      <c r="T52" s="12">
        <f>T47*1.2</f>
        <v/>
      </c>
      <c r="U52" s="12">
        <f>U47*1.2</f>
        <v/>
      </c>
      <c r="V52" s="12" t="n">
        <v>87.42563832807321</v>
      </c>
    </row>
    <row r="53">
      <c r="B53">
        <f>B48+1</f>
        <v/>
      </c>
      <c r="C53" s="6" t="inlineStr">
        <is>
          <t>---</t>
        </is>
      </c>
      <c r="D53" s="12" t="n">
        <v>36</v>
      </c>
      <c r="E53" s="6" t="inlineStr">
        <is>
          <t>---</t>
        </is>
      </c>
      <c r="F53" s="6" t="inlineStr">
        <is>
          <t>0.25 MVA 10/0.4 kV</t>
        </is>
      </c>
      <c r="G53" s="12" t="n">
        <v>0</v>
      </c>
      <c r="H53" s="12" t="n">
        <v>1</v>
      </c>
      <c r="I53" s="12" t="n">
        <v>10</v>
      </c>
      <c r="J53" s="12" t="n">
        <v>0.4</v>
      </c>
      <c r="K53" s="12" t="n">
        <v>0.6</v>
      </c>
      <c r="L53" s="12" t="n">
        <v>150</v>
      </c>
      <c r="M53" s="12" t="n">
        <v>0</v>
      </c>
      <c r="N53" s="12" t="n">
        <v>1</v>
      </c>
      <c r="O53" s="12" t="n">
        <v>1</v>
      </c>
      <c r="P53" s="12" t="n">
        <v>0.1236666454897191</v>
      </c>
      <c r="Q53" s="12" t="n">
        <v>0.04340919264951015</v>
      </c>
      <c r="R53" s="12" t="n">
        <v>-0.1222531233879495</v>
      </c>
      <c r="S53" s="12" t="n">
        <v>-0.04079860106284355</v>
      </c>
      <c r="T53" s="12">
        <f>T48*1.2</f>
        <v/>
      </c>
      <c r="U53" s="12">
        <f>U48*1.2</f>
        <v/>
      </c>
      <c r="V53" s="12" t="n">
        <v>88.42563832807321</v>
      </c>
    </row>
    <row r="54">
      <c r="B54">
        <f>B49+1</f>
        <v/>
      </c>
      <c r="C54" s="6" t="inlineStr">
        <is>
          <t>---</t>
        </is>
      </c>
      <c r="D54" s="12" t="n">
        <v>37</v>
      </c>
      <c r="E54" s="6" t="inlineStr">
        <is>
          <t>---</t>
        </is>
      </c>
      <c r="F54" s="6" t="inlineStr">
        <is>
          <t>0.25 MVA 10/0.4 kV</t>
        </is>
      </c>
      <c r="G54" s="12" t="n">
        <v>0</v>
      </c>
      <c r="H54" s="12" t="n">
        <v>1</v>
      </c>
      <c r="I54" s="12" t="n">
        <v>10</v>
      </c>
      <c r="J54" s="12" t="n">
        <v>0.4</v>
      </c>
      <c r="K54" s="12" t="n">
        <v>0.6</v>
      </c>
      <c r="L54" s="12" t="n">
        <v>150</v>
      </c>
      <c r="M54" s="12" t="n">
        <v>0</v>
      </c>
      <c r="N54" s="12" t="n">
        <v>1</v>
      </c>
      <c r="O54" s="12" t="n">
        <v>1</v>
      </c>
      <c r="P54" s="12" t="n">
        <v>0.1236666454897191</v>
      </c>
      <c r="Q54" s="12" t="n">
        <v>0.04340919264951015</v>
      </c>
      <c r="R54" s="12" t="n">
        <v>-0.1222531233879495</v>
      </c>
      <c r="S54" s="12" t="n">
        <v>-0.04079860106284355</v>
      </c>
      <c r="T54" s="12">
        <f>T49*1.2</f>
        <v/>
      </c>
      <c r="U54" s="12">
        <f>U49*1.2</f>
        <v/>
      </c>
      <c r="V54" s="12" t="n">
        <v>89.42563832807321</v>
      </c>
    </row>
    <row r="55">
      <c r="B55">
        <f>B50+1</f>
        <v/>
      </c>
      <c r="C55" s="6" t="inlineStr">
        <is>
          <t>---</t>
        </is>
      </c>
      <c r="D55" s="12" t="n">
        <v>38</v>
      </c>
      <c r="E55" s="6" t="inlineStr">
        <is>
          <t>---</t>
        </is>
      </c>
      <c r="F55" s="6" t="inlineStr">
        <is>
          <t>0.25 MVA 10/0.4 kV</t>
        </is>
      </c>
      <c r="G55" s="12" t="n">
        <v>0</v>
      </c>
      <c r="H55" s="12" t="n">
        <v>1</v>
      </c>
      <c r="I55" s="12" t="n">
        <v>10</v>
      </c>
      <c r="J55" s="12" t="n">
        <v>0.4</v>
      </c>
      <c r="K55" s="12" t="n">
        <v>0.6</v>
      </c>
      <c r="L55" s="12" t="n">
        <v>150</v>
      </c>
      <c r="M55" s="12" t="n">
        <v>0</v>
      </c>
      <c r="N55" s="12" t="n">
        <v>1</v>
      </c>
      <c r="O55" s="12" t="n">
        <v>1</v>
      </c>
      <c r="P55" s="12" t="n">
        <v>0.1236666454897191</v>
      </c>
      <c r="Q55" s="12" t="n">
        <v>0.04340919264951015</v>
      </c>
      <c r="R55" s="12" t="n">
        <v>-0.1222531233879495</v>
      </c>
      <c r="S55" s="12" t="n">
        <v>-0.04079860106284355</v>
      </c>
      <c r="T55" s="12">
        <f>T50*1.2</f>
        <v/>
      </c>
      <c r="U55" s="12">
        <f>U50*1.2</f>
        <v/>
      </c>
      <c r="V55" s="12" t="n">
        <v>90.42563832807321</v>
      </c>
    </row>
    <row r="56">
      <c r="B56">
        <f>B51+1</f>
        <v/>
      </c>
      <c r="C56" s="6" t="inlineStr">
        <is>
          <t>---</t>
        </is>
      </c>
      <c r="D56" s="12" t="n">
        <v>39</v>
      </c>
      <c r="E56" s="6" t="inlineStr">
        <is>
          <t>---</t>
        </is>
      </c>
      <c r="F56" s="6" t="inlineStr">
        <is>
          <t>0.25 MVA 10/0.4 kV</t>
        </is>
      </c>
      <c r="G56" s="12" t="n">
        <v>0</v>
      </c>
      <c r="H56" s="12" t="n">
        <v>1</v>
      </c>
      <c r="I56" s="12" t="n">
        <v>10</v>
      </c>
      <c r="J56" s="12" t="n">
        <v>0.4</v>
      </c>
      <c r="K56" s="12" t="n">
        <v>0.6</v>
      </c>
      <c r="L56" s="12" t="n">
        <v>150</v>
      </c>
      <c r="M56" s="12" t="n">
        <v>0</v>
      </c>
      <c r="N56" s="12" t="n">
        <v>1</v>
      </c>
      <c r="O56" s="12" t="n">
        <v>1</v>
      </c>
      <c r="P56" s="12" t="n">
        <v>0.1236666454897191</v>
      </c>
      <c r="Q56" s="12" t="n">
        <v>0.04340919264951015</v>
      </c>
      <c r="R56" s="12" t="n">
        <v>-0.1222531233879495</v>
      </c>
      <c r="S56" s="12" t="n">
        <v>-0.04079860106284355</v>
      </c>
      <c r="T56" s="12">
        <f>T51*1.2</f>
        <v/>
      </c>
      <c r="U56" s="12">
        <f>U51*1.2</f>
        <v/>
      </c>
      <c r="V56" s="12" t="n">
        <v>91.42563832807321</v>
      </c>
    </row>
  </sheetData>
  <mergeCells count="1">
    <mergeCell ref="B2:V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B16"/>
  <sheetViews>
    <sheetView topLeftCell="A37" workbookViewId="0">
      <selection activeCell="B52" sqref="B52"/>
    </sheetView>
  </sheetViews>
  <sheetFormatPr baseColWidth="8" defaultRowHeight="14.4"/>
  <cols>
    <col width="15.77734375" bestFit="1" customWidth="1" style="14" min="1" max="1"/>
    <col width="24.109375" bestFit="1" customWidth="1" style="14" min="2" max="2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Active Power [MW]</t>
        </is>
      </c>
    </row>
    <row r="5">
      <c r="A5" s="9" t="n">
        <v>0</v>
      </c>
      <c r="B5" t="n">
        <v>1000</v>
      </c>
    </row>
    <row r="6">
      <c r="A6" s="9" t="n">
        <v>1</v>
      </c>
      <c r="B6" t="n">
        <v>1100</v>
      </c>
    </row>
    <row r="7">
      <c r="A7" s="9" t="n">
        <v>2</v>
      </c>
      <c r="B7" t="n">
        <v>1210</v>
      </c>
    </row>
    <row r="8">
      <c r="A8" s="9" t="n">
        <v>3</v>
      </c>
      <c r="B8" t="n">
        <v>1331</v>
      </c>
    </row>
    <row r="9">
      <c r="A9" s="9" t="n">
        <v>4</v>
      </c>
      <c r="B9" t="n">
        <v>1464.100000000001</v>
      </c>
    </row>
    <row r="10">
      <c r="A10" s="9" t="n">
        <v>5</v>
      </c>
      <c r="B10" t="n">
        <v>1610.510000000001</v>
      </c>
    </row>
    <row r="11">
      <c r="A11" s="9" t="n">
        <v>6</v>
      </c>
      <c r="B11" t="n">
        <v>1771.561000000001</v>
      </c>
    </row>
    <row r="12">
      <c r="A12" s="9" t="n">
        <v>7</v>
      </c>
      <c r="B12" t="n">
        <v>1948.717100000001</v>
      </c>
    </row>
    <row r="13">
      <c r="A13" s="9" t="n">
        <v>8</v>
      </c>
      <c r="B13" t="n">
        <v>2143.588810000002</v>
      </c>
    </row>
    <row r="14">
      <c r="A14" s="9" t="n">
        <v>9</v>
      </c>
      <c r="B14" t="n">
        <v>2357.947691000002</v>
      </c>
    </row>
    <row r="15">
      <c r="A15" s="9" t="n">
        <v>10</v>
      </c>
      <c r="B15" t="n">
        <v>2593.742460100002</v>
      </c>
    </row>
    <row r="16">
      <c r="A16" s="9" t="inlineStr">
        <is>
          <t>Grand Total</t>
        </is>
      </c>
      <c r="B16" t="n">
        <v>18531.16706110001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I17"/>
  <sheetViews>
    <sheetView workbookViewId="0">
      <selection activeCell="B3" sqref="B3"/>
    </sheetView>
  </sheetViews>
  <sheetFormatPr baseColWidth="8" defaultRowHeight="14.4"/>
  <cols>
    <col width="24.5546875" bestFit="1" customWidth="1" style="14" min="2" max="2"/>
    <col width="15.5546875" bestFit="1" customWidth="1" style="14" min="3" max="3"/>
    <col width="12" bestFit="1" customWidth="1" style="14" min="4" max="4"/>
    <col width="15.77734375" bestFit="1" customWidth="1" style="14" min="5" max="5"/>
    <col width="12" bestFit="1" customWidth="1" style="14" min="6" max="6"/>
    <col width="12.33203125" bestFit="1" customWidth="1" style="14" min="7" max="7"/>
    <col width="12" bestFit="1" customWidth="1" style="14" min="8" max="9"/>
  </cols>
  <sheetData>
    <row r="1">
      <c r="B1" s="8" t="inlineStr">
        <is>
          <t>Zone</t>
        </is>
      </c>
      <c r="C1" t="inlineStr">
        <is>
          <t>(All)</t>
        </is>
      </c>
      <c r="E1" s="8" t="inlineStr">
        <is>
          <t>Voltage Level [kV]</t>
        </is>
      </c>
      <c r="F1" t="inlineStr">
        <is>
          <t>(All)</t>
        </is>
      </c>
    </row>
    <row r="3">
      <c r="B3" s="8" t="inlineStr">
        <is>
          <t>Sum of  Active Power [MW]</t>
        </is>
      </c>
      <c r="C3" s="8" t="inlineStr">
        <is>
          <t>Column Labels</t>
        </is>
      </c>
    </row>
    <row r="4">
      <c r="C4" t="inlineStr">
        <is>
          <t>Coal</t>
        </is>
      </c>
      <c r="D4" t="inlineStr">
        <is>
          <t>Coal Total</t>
        </is>
      </c>
      <c r="E4" t="inlineStr">
        <is>
          <t>NG</t>
        </is>
      </c>
      <c r="F4" t="inlineStr">
        <is>
          <t>NG Total</t>
        </is>
      </c>
      <c r="G4" t="inlineStr">
        <is>
          <t>Wind</t>
        </is>
      </c>
      <c r="H4" t="inlineStr">
        <is>
          <t>Wind Total</t>
        </is>
      </c>
      <c r="I4" t="inlineStr">
        <is>
          <t>Grand Total</t>
        </is>
      </c>
    </row>
    <row r="5">
      <c r="B5" s="8" t="inlineStr">
        <is>
          <t>Row Labels</t>
        </is>
      </c>
      <c r="C5" t="inlineStr">
        <is>
          <t>Steam Turbine</t>
        </is>
      </c>
      <c r="E5" t="inlineStr">
        <is>
          <t>Gas Turbine</t>
        </is>
      </c>
      <c r="G5" t="inlineStr">
        <is>
          <t>Wind Turbine</t>
        </is>
      </c>
    </row>
    <row r="6">
      <c r="B6" s="9" t="n">
        <v>0</v>
      </c>
      <c r="C6" t="n">
        <v>40</v>
      </c>
      <c r="D6" t="n">
        <v>40</v>
      </c>
      <c r="E6" t="n">
        <v>323.49</v>
      </c>
      <c r="F6" t="n">
        <v>323.49</v>
      </c>
      <c r="G6" t="n">
        <v>466.51</v>
      </c>
      <c r="H6" t="n">
        <v>466.51</v>
      </c>
      <c r="I6" t="n">
        <v>830</v>
      </c>
    </row>
    <row r="7">
      <c r="B7" s="9" t="n">
        <v>1</v>
      </c>
      <c r="C7" t="n">
        <v>44</v>
      </c>
      <c r="D7" t="n">
        <v>44</v>
      </c>
      <c r="E7" t="n">
        <v>355.8390000000001</v>
      </c>
      <c r="F7" t="n">
        <v>355.8390000000001</v>
      </c>
      <c r="G7" t="n">
        <v>513.1610000000001</v>
      </c>
      <c r="H7" t="n">
        <v>513.1610000000001</v>
      </c>
      <c r="I7" t="n">
        <v>913.0000000000001</v>
      </c>
    </row>
    <row r="8">
      <c r="B8" s="9" t="n">
        <v>2</v>
      </c>
      <c r="C8" t="n">
        <v>48.40000000000001</v>
      </c>
      <c r="D8" t="n">
        <v>48.40000000000001</v>
      </c>
      <c r="E8" t="n">
        <v>391.4229000000001</v>
      </c>
      <c r="F8" t="n">
        <v>391.4229000000001</v>
      </c>
      <c r="G8" t="n">
        <v>564.4771000000001</v>
      </c>
      <c r="H8" t="n">
        <v>564.4771000000001</v>
      </c>
      <c r="I8" t="n">
        <v>1004.3</v>
      </c>
    </row>
    <row r="9">
      <c r="B9" s="9" t="n">
        <v>3</v>
      </c>
      <c r="C9" t="n">
        <v>53.24000000000001</v>
      </c>
      <c r="D9" t="n">
        <v>53.24000000000001</v>
      </c>
      <c r="E9" t="n">
        <v>430.5651900000001</v>
      </c>
      <c r="F9" t="n">
        <v>430.5651900000001</v>
      </c>
      <c r="G9" t="n">
        <v>620.9248100000001</v>
      </c>
      <c r="H9" t="n">
        <v>620.9248100000001</v>
      </c>
      <c r="I9" t="n">
        <v>1104.73</v>
      </c>
    </row>
    <row r="10">
      <c r="B10" s="9" t="n">
        <v>4</v>
      </c>
      <c r="C10" t="n">
        <v>58.56400000000001</v>
      </c>
      <c r="D10" t="n">
        <v>58.56400000000001</v>
      </c>
      <c r="E10" t="n">
        <v>473.6217090000002</v>
      </c>
      <c r="F10" t="n">
        <v>473.6217090000002</v>
      </c>
      <c r="G10" t="n">
        <v>683.0172910000001</v>
      </c>
      <c r="H10" t="n">
        <v>683.0172910000001</v>
      </c>
      <c r="I10" t="n">
        <v>1215.203</v>
      </c>
    </row>
    <row r="11">
      <c r="B11" s="9" t="n">
        <v>5</v>
      </c>
      <c r="C11" t="n">
        <v>64.42040000000001</v>
      </c>
      <c r="D11" t="n">
        <v>64.42040000000001</v>
      </c>
      <c r="E11" t="n">
        <v>520.9838799000003</v>
      </c>
      <c r="F11" t="n">
        <v>520.9838799000003</v>
      </c>
      <c r="G11" t="n">
        <v>751.3190201000002</v>
      </c>
      <c r="H11" t="n">
        <v>751.3190201000002</v>
      </c>
      <c r="I11" t="n">
        <v>1336.723300000001</v>
      </c>
    </row>
    <row r="12">
      <c r="B12" s="9" t="n">
        <v>6</v>
      </c>
      <c r="C12" t="n">
        <v>70.86244000000002</v>
      </c>
      <c r="D12" t="n">
        <v>70.86244000000002</v>
      </c>
      <c r="E12" t="n">
        <v>573.0822678900004</v>
      </c>
      <c r="F12" t="n">
        <v>573.0822678900004</v>
      </c>
      <c r="G12" t="n">
        <v>826.4509221100003</v>
      </c>
      <c r="H12" t="n">
        <v>826.4509221100003</v>
      </c>
      <c r="I12" t="n">
        <v>1470.395630000001</v>
      </c>
    </row>
    <row r="13">
      <c r="B13" s="9" t="n">
        <v>7</v>
      </c>
      <c r="C13" t="n">
        <v>77.94868400000003</v>
      </c>
      <c r="D13" t="n">
        <v>77.94868400000003</v>
      </c>
      <c r="E13" t="n">
        <v>630.3904946790004</v>
      </c>
      <c r="F13" t="n">
        <v>630.3904946790004</v>
      </c>
      <c r="G13" t="n">
        <v>909.0960143210004</v>
      </c>
      <c r="H13" t="n">
        <v>909.0960143210004</v>
      </c>
      <c r="I13" t="n">
        <v>1617.435193000001</v>
      </c>
    </row>
    <row r="14">
      <c r="B14" s="9" t="n">
        <v>8</v>
      </c>
      <c r="C14" t="n">
        <v>85.74355240000004</v>
      </c>
      <c r="D14" t="n">
        <v>85.74355240000004</v>
      </c>
      <c r="E14" t="n">
        <v>693.4295441469005</v>
      </c>
      <c r="F14" t="n">
        <v>693.4295441469005</v>
      </c>
      <c r="G14" t="n">
        <v>1000.005615753101</v>
      </c>
      <c r="H14" t="n">
        <v>1000.005615753101</v>
      </c>
      <c r="I14" t="n">
        <v>1779.178712300001</v>
      </c>
    </row>
    <row r="15">
      <c r="B15" s="9" t="n">
        <v>9</v>
      </c>
      <c r="C15" t="n">
        <v>94.31790764000006</v>
      </c>
      <c r="D15" t="n">
        <v>94.31790764000006</v>
      </c>
      <c r="E15" t="n">
        <v>762.7724985615906</v>
      </c>
      <c r="F15" t="n">
        <v>762.7724985615906</v>
      </c>
      <c r="G15" t="n">
        <v>1100.006177328411</v>
      </c>
      <c r="H15" t="n">
        <v>1100.006177328411</v>
      </c>
      <c r="I15" t="n">
        <v>1957.096583530001</v>
      </c>
    </row>
    <row r="16">
      <c r="B16" s="9" t="n">
        <v>10</v>
      </c>
      <c r="C16" t="n">
        <v>103.7496984040001</v>
      </c>
      <c r="D16" t="n">
        <v>103.7496984040001</v>
      </c>
      <c r="E16" t="n">
        <v>839.0497484177497</v>
      </c>
      <c r="F16" t="n">
        <v>839.0497484177497</v>
      </c>
      <c r="G16" t="n">
        <v>1210.006795061252</v>
      </c>
      <c r="H16" t="n">
        <v>1210.006795061252</v>
      </c>
      <c r="I16" t="n">
        <v>2152.806241883001</v>
      </c>
    </row>
    <row r="17">
      <c r="B17" s="9" t="inlineStr">
        <is>
          <t>Grand Total</t>
        </is>
      </c>
      <c r="C17" t="n">
        <v>741.2466824440003</v>
      </c>
      <c r="D17" t="n">
        <v>741.2466824440003</v>
      </c>
      <c r="E17" t="n">
        <v>5994.647232595242</v>
      </c>
      <c r="F17" t="n">
        <v>5994.647232595242</v>
      </c>
      <c r="G17" t="n">
        <v>8644.974745673764</v>
      </c>
      <c r="H17" t="n">
        <v>8644.974745673764</v>
      </c>
      <c r="I17" t="n">
        <v>15380.86866071301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3:B13"/>
  <sheetViews>
    <sheetView workbookViewId="0">
      <selection activeCell="A1" sqref="A1"/>
    </sheetView>
  </sheetViews>
  <sheetFormatPr baseColWidth="8" defaultRowHeight="14.4"/>
  <cols>
    <col width="17.6640625" bestFit="1" customWidth="1" style="14" min="1" max="1"/>
    <col width="26" bestFit="1" customWidth="1" style="14" min="2" max="2"/>
    <col width="24.109375" bestFit="1" customWidth="1" style="14" min="3" max="3"/>
    <col width="11.33203125" bestFit="1" customWidth="1" style="14" min="4" max="5"/>
    <col width="15.109375" bestFit="1" customWidth="1" style="14" min="6" max="6"/>
    <col width="18.33203125" bestFit="1" customWidth="1" style="14" min="7" max="7"/>
    <col width="11.33203125" bestFit="1" customWidth="1" style="14" min="8" max="9"/>
  </cols>
  <sheetData>
    <row r="3">
      <c r="A3" s="8" t="inlineStr">
        <is>
          <t>Row Labels</t>
        </is>
      </c>
      <c r="B3" t="inlineStr">
        <is>
          <t>Sum of  Active Power [MW]</t>
        </is>
      </c>
    </row>
    <row r="4">
      <c r="A4" s="9" t="inlineStr">
        <is>
          <t>Coal</t>
        </is>
      </c>
      <c r="B4" t="n">
        <v>741.2466824440003</v>
      </c>
    </row>
    <row r="5">
      <c r="A5" s="10" t="inlineStr">
        <is>
          <t>Steam Turbine</t>
        </is>
      </c>
      <c r="B5" t="n">
        <v>741.2466824440003</v>
      </c>
    </row>
    <row r="6">
      <c r="A6" s="11" t="n">
        <v>230</v>
      </c>
      <c r="B6" t="n">
        <v>741.2466824440003</v>
      </c>
    </row>
    <row r="7">
      <c r="A7" s="9" t="inlineStr">
        <is>
          <t>NG</t>
        </is>
      </c>
      <c r="B7" t="n">
        <v>5994.647232595242</v>
      </c>
    </row>
    <row r="8">
      <c r="A8" s="10" t="inlineStr">
        <is>
          <t>Gas Turbine</t>
        </is>
      </c>
      <c r="B8" t="n">
        <v>5994.647232595242</v>
      </c>
    </row>
    <row r="9">
      <c r="A9" s="11" t="n">
        <v>230</v>
      </c>
      <c r="B9" t="n">
        <v>5994.647232595242</v>
      </c>
    </row>
    <row r="10">
      <c r="A10" s="9" t="inlineStr">
        <is>
          <t>Wind</t>
        </is>
      </c>
      <c r="B10" t="n">
        <v>8644.974745673764</v>
      </c>
    </row>
    <row r="11">
      <c r="A11" s="10" t="inlineStr">
        <is>
          <t>Wind Turbine</t>
        </is>
      </c>
      <c r="B11" t="n">
        <v>8644.974745673764</v>
      </c>
    </row>
    <row r="12">
      <c r="A12" s="11" t="n">
        <v>110</v>
      </c>
      <c r="B12" t="n">
        <v>8644.974745673764</v>
      </c>
    </row>
    <row r="13">
      <c r="A13" s="9" t="inlineStr">
        <is>
          <t>Grand Total</t>
        </is>
      </c>
      <c r="B13" t="n">
        <v>15380.86866071301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10"/>
  <sheetViews>
    <sheetView topLeftCell="U17" workbookViewId="0">
      <selection activeCell="AF32" sqref="AF32"/>
    </sheetView>
  </sheetViews>
  <sheetFormatPr baseColWidth="8" defaultRowHeight="14.4"/>
  <cols>
    <col width="12.5546875" bestFit="1" customWidth="1" style="14" min="1" max="1"/>
    <col width="18.6640625" bestFit="1" customWidth="1" style="14" min="2" max="2"/>
  </cols>
  <sheetData>
    <row r="1">
      <c r="A1" s="8" t="inlineStr">
        <is>
          <t>Step</t>
        </is>
      </c>
      <c r="B1" s="9" t="n">
        <v>0</v>
      </c>
    </row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Voltage [p.u]</t>
        </is>
      </c>
    </row>
    <row r="5">
      <c r="A5" s="9" t="n">
        <v>0</v>
      </c>
      <c r="B5" t="n">
        <v>0.9999999999999999</v>
      </c>
    </row>
    <row r="6">
      <c r="A6" s="9" t="n">
        <v>1</v>
      </c>
      <c r="B6" t="n">
        <v>0.9892612371179855</v>
      </c>
    </row>
    <row r="7">
      <c r="A7" s="9" t="n">
        <v>2</v>
      </c>
      <c r="B7" t="n">
        <v>1</v>
      </c>
    </row>
    <row r="8">
      <c r="A8" s="9" t="n">
        <v>3</v>
      </c>
      <c r="B8" t="n">
        <v>1</v>
      </c>
    </row>
    <row r="9">
      <c r="A9" s="9" t="n">
        <v>4</v>
      </c>
      <c r="B9" t="n">
        <v>0.9999999999999999</v>
      </c>
    </row>
    <row r="10">
      <c r="A10" s="9" t="inlineStr">
        <is>
          <t>Grand Total</t>
        </is>
      </c>
      <c r="B10" t="n">
        <v>4.989261237117986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4.4"/>
  <cols>
    <col width="15.77734375" bestFit="1" customWidth="1" style="14" min="1" max="1"/>
    <col width="24.44140625" bestFit="1" customWidth="1" style="14" min="2" max="2"/>
    <col width="27.77734375" bestFit="1" customWidth="1" style="14" min="3" max="3"/>
    <col width="25.109375" bestFit="1" customWidth="1" style="14" min="4" max="4"/>
    <col width="25.6640625" bestFit="1" customWidth="1" style="14" min="5" max="5"/>
    <col width="29.109375" bestFit="1" customWidth="1" style="14" min="6" max="6"/>
    <col width="26.44140625" bestFit="1" customWidth="1" style="14" min="7" max="7"/>
    <col width="30.6640625" bestFit="1" customWidth="1" style="14" min="8" max="8"/>
    <col width="34.33203125" bestFit="1" customWidth="1" style="14" min="9" max="9"/>
    <col width="31.44140625" bestFit="1" customWidth="1" style="14" min="10" max="10"/>
    <col width="30.6640625" bestFit="1" customWidth="1" style="14" min="11" max="11"/>
    <col width="34.33203125" bestFit="1" customWidth="1" style="14" min="12" max="12"/>
    <col width="31.44140625" bestFit="1" customWidth="1" style="14" min="13" max="13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Max of Loading Percent [%]</t>
        </is>
      </c>
      <c r="C4" t="inlineStr">
        <is>
          <t>Average of Loading Percent [%]</t>
        </is>
      </c>
      <c r="D4" t="inlineStr">
        <is>
          <t>Min of Loading Percent [%]2</t>
        </is>
      </c>
    </row>
    <row r="5">
      <c r="A5" s="9" t="n">
        <v>0</v>
      </c>
      <c r="B5" t="n">
        <v>100.1731638810112</v>
      </c>
      <c r="C5" t="n">
        <v>27.14337412240021</v>
      </c>
      <c r="D5" t="n">
        <v>7.234050190158276e-05</v>
      </c>
    </row>
    <row r="6">
      <c r="A6" s="9" t="n">
        <v>1</v>
      </c>
      <c r="B6" t="n">
        <v>110.1904802691123</v>
      </c>
      <c r="C6" t="n">
        <v>29.85771153464023</v>
      </c>
      <c r="D6" t="n">
        <v>7.957455209174104e-05</v>
      </c>
    </row>
    <row r="7">
      <c r="A7" s="9" t="n">
        <v>2</v>
      </c>
      <c r="B7" t="n">
        <v>121.2095282960236</v>
      </c>
      <c r="C7" t="n">
        <v>32.84348268810426</v>
      </c>
      <c r="D7" t="n">
        <v>8.753200730091515e-05</v>
      </c>
    </row>
    <row r="8">
      <c r="A8" s="9" t="n">
        <v>3</v>
      </c>
      <c r="B8" t="n">
        <v>133.330481125626</v>
      </c>
      <c r="C8" t="n">
        <v>36.12783095691469</v>
      </c>
      <c r="D8" t="n">
        <v>9.628520803100668e-05</v>
      </c>
    </row>
    <row r="9">
      <c r="A9" s="9" t="n">
        <v>4</v>
      </c>
      <c r="B9" t="n">
        <v>146.6635292381886</v>
      </c>
      <c r="C9" t="n">
        <v>39.74061405260616</v>
      </c>
      <c r="D9" t="n">
        <v>0.0001059137288341074</v>
      </c>
    </row>
    <row r="10">
      <c r="A10" s="9" t="n">
        <v>5</v>
      </c>
      <c r="B10" t="n">
        <v>161.3298821620074</v>
      </c>
      <c r="C10" t="n">
        <v>43.71467545786678</v>
      </c>
      <c r="D10" t="n">
        <v>0.0001165051017175181</v>
      </c>
    </row>
    <row r="11">
      <c r="A11" s="9" t="n">
        <v>6</v>
      </c>
      <c r="B11" t="n">
        <v>177.4628703782082</v>
      </c>
      <c r="C11" t="n">
        <v>48.08614300365347</v>
      </c>
      <c r="D11" t="n">
        <v>0.0001281556118892699</v>
      </c>
    </row>
    <row r="12">
      <c r="A12" s="9" t="n">
        <v>7</v>
      </c>
      <c r="B12" t="n">
        <v>195.2091574160291</v>
      </c>
      <c r="C12" t="n">
        <v>52.89475730401882</v>
      </c>
      <c r="D12" t="n">
        <v>0.0001409711730781969</v>
      </c>
    </row>
    <row r="13">
      <c r="A13" s="9" t="n">
        <v>8</v>
      </c>
      <c r="B13" t="n">
        <v>214.730073157632</v>
      </c>
      <c r="C13" t="n">
        <v>58.18423303442071</v>
      </c>
      <c r="D13" t="n">
        <v>0.0001550682903860166</v>
      </c>
    </row>
    <row r="14">
      <c r="A14" s="9" t="n">
        <v>9</v>
      </c>
      <c r="B14" t="n">
        <v>236.2030804733952</v>
      </c>
      <c r="C14" t="n">
        <v>64.00265633786279</v>
      </c>
      <c r="D14" t="n">
        <v>0.0001705751194246183</v>
      </c>
    </row>
    <row r="15">
      <c r="A15" s="9" t="n">
        <v>10</v>
      </c>
      <c r="B15" t="n">
        <v>259.8233885207347</v>
      </c>
      <c r="C15" t="n">
        <v>70.40292197164906</v>
      </c>
      <c r="D15" t="n">
        <v>0.0001876326313670801</v>
      </c>
    </row>
    <row r="16">
      <c r="A16" s="9" t="inlineStr">
        <is>
          <t>Grand Total</t>
        </is>
      </c>
      <c r="B16" t="n">
        <v>259.8233885207347</v>
      </c>
      <c r="C16" t="n">
        <v>45.72712731492156</v>
      </c>
      <c r="D16" t="n">
        <v>7.234050190158276e-05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1:B16"/>
  <sheetViews>
    <sheetView workbookViewId="0">
      <selection activeCell="A1" sqref="A1"/>
    </sheetView>
  </sheetViews>
  <sheetFormatPr baseColWidth="8" defaultRowHeight="14.4"/>
  <cols>
    <col width="16.88671875" bestFit="1" customWidth="1" style="14" min="1" max="1"/>
    <col width="18.77734375" bestFit="1" customWidth="1" style="14" min="2" max="2"/>
    <col width="12.44140625" bestFit="1" customWidth="1" style="14" min="3" max="5"/>
    <col width="20.6640625" bestFit="1" customWidth="1" style="14" min="6" max="6"/>
    <col width="21.88671875" bestFit="1" customWidth="1" style="14" min="7" max="7"/>
    <col width="24.33203125" bestFit="1" customWidth="1" style="14" min="8" max="8"/>
    <col width="25.33203125" bestFit="1" customWidth="1" style="14" min="9" max="9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Losses [MW]</t>
        </is>
      </c>
    </row>
    <row r="5">
      <c r="A5" s="9" t="n">
        <v>0</v>
      </c>
      <c r="B5" t="n">
        <v>5.027180043283985</v>
      </c>
    </row>
    <row r="6">
      <c r="A6" s="9" t="n">
        <v>1</v>
      </c>
      <c r="B6" t="n">
        <v>5.529898047612384</v>
      </c>
    </row>
    <row r="7">
      <c r="A7" s="9" t="n">
        <v>2</v>
      </c>
      <c r="B7" t="n">
        <v>6.082887852373622</v>
      </c>
    </row>
    <row r="8">
      <c r="A8" s="9" t="n">
        <v>3</v>
      </c>
      <c r="B8" t="n">
        <v>6.691176637610985</v>
      </c>
    </row>
    <row r="9">
      <c r="A9" s="9" t="n">
        <v>4</v>
      </c>
      <c r="B9" t="n">
        <v>7.360294301372084</v>
      </c>
    </row>
    <row r="10">
      <c r="A10" s="9" t="n">
        <v>5</v>
      </c>
      <c r="B10" t="n">
        <v>8.096323731509294</v>
      </c>
    </row>
    <row r="11">
      <c r="A11" s="9" t="n">
        <v>6</v>
      </c>
      <c r="B11" t="n">
        <v>8.905956104660223</v>
      </c>
    </row>
    <row r="12">
      <c r="A12" s="9" t="n">
        <v>7</v>
      </c>
      <c r="B12" t="n">
        <v>9.796551715126247</v>
      </c>
    </row>
    <row r="13">
      <c r="A13" s="9" t="n">
        <v>8</v>
      </c>
      <c r="B13" t="n">
        <v>10.77620688663887</v>
      </c>
    </row>
    <row r="14">
      <c r="A14" s="9" t="n">
        <v>9</v>
      </c>
      <c r="B14" t="n">
        <v>11.85382757530276</v>
      </c>
    </row>
    <row r="15">
      <c r="A15" s="9" t="n">
        <v>10</v>
      </c>
      <c r="B15" t="n">
        <v>13.03921033283304</v>
      </c>
    </row>
    <row r="16">
      <c r="A16" s="9" t="inlineStr">
        <is>
          <t>Grand Total</t>
        </is>
      </c>
      <c r="B16" t="n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2:D18"/>
  <sheetViews>
    <sheetView workbookViewId="0">
      <selection activeCell="A4" sqref="A4"/>
    </sheetView>
  </sheetViews>
  <sheetFormatPr baseColWidth="8" defaultRowHeight="14.4"/>
  <cols>
    <col width="18.33203125" bestFit="1" customWidth="1" style="14" min="1" max="1"/>
    <col width="15.5546875" bestFit="1" customWidth="1" style="14" min="2" max="2"/>
    <col width="12" bestFit="1" customWidth="1" style="14" min="3" max="4"/>
  </cols>
  <sheetData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Sum of Losses [MW]</t>
        </is>
      </c>
      <c r="B4" s="8" t="inlineStr">
        <is>
          <t>Column Labels</t>
        </is>
      </c>
    </row>
    <row r="5">
      <c r="B5" t="n">
        <v>10</v>
      </c>
      <c r="C5" t="inlineStr">
        <is>
          <t>10 Total</t>
        </is>
      </c>
      <c r="D5" t="inlineStr">
        <is>
          <t>Grand Total</t>
        </is>
      </c>
    </row>
    <row r="6">
      <c r="A6" s="8" t="inlineStr">
        <is>
          <t>Row Labels</t>
        </is>
      </c>
      <c r="B6" t="n">
        <v>0.4</v>
      </c>
    </row>
    <row r="7">
      <c r="A7" s="9" t="n">
        <v>0</v>
      </c>
      <c r="B7" t="n">
        <v>0.004240566305308572</v>
      </c>
      <c r="C7" t="n">
        <v>0.004240566305308572</v>
      </c>
      <c r="D7" t="n">
        <v>0.004240566305308572</v>
      </c>
    </row>
    <row r="8">
      <c r="A8" s="9" t="n">
        <v>1</v>
      </c>
      <c r="B8" t="n">
        <v>0.00706761050884762</v>
      </c>
      <c r="C8" t="n">
        <v>0.00706761050884762</v>
      </c>
      <c r="D8" t="n">
        <v>0.00706761050884762</v>
      </c>
    </row>
    <row r="9">
      <c r="A9" s="9" t="n">
        <v>2</v>
      </c>
      <c r="B9" t="n">
        <v>0.00706761050884762</v>
      </c>
      <c r="C9" t="n">
        <v>0.00706761050884762</v>
      </c>
      <c r="D9" t="n">
        <v>0.00706761050884762</v>
      </c>
    </row>
    <row r="10">
      <c r="A10" s="9" t="n">
        <v>3</v>
      </c>
      <c r="B10" t="n">
        <v>0.008481132610617144</v>
      </c>
      <c r="C10" t="n">
        <v>0.008481132610617144</v>
      </c>
      <c r="D10" t="n">
        <v>0.008481132610617144</v>
      </c>
    </row>
    <row r="11">
      <c r="A11" s="9" t="n">
        <v>4</v>
      </c>
      <c r="B11" t="n">
        <v>0.01017735913274057</v>
      </c>
      <c r="C11" t="n">
        <v>0.01017735913274057</v>
      </c>
      <c r="D11" t="n">
        <v>0.01017735913274057</v>
      </c>
    </row>
    <row r="12">
      <c r="A12" s="9" t="n">
        <v>5</v>
      </c>
      <c r="B12" t="n">
        <v>0.01221283095928868</v>
      </c>
      <c r="C12" t="n">
        <v>0.01221283095928868</v>
      </c>
      <c r="D12" t="n">
        <v>0.01221283095928868</v>
      </c>
    </row>
    <row r="13">
      <c r="A13" s="9" t="n">
        <v>6</v>
      </c>
      <c r="B13" t="n">
        <v>0.01465539715114642</v>
      </c>
      <c r="C13" t="n">
        <v>0.01465539715114642</v>
      </c>
      <c r="D13" t="n">
        <v>0.01465539715114642</v>
      </c>
    </row>
    <row r="14">
      <c r="A14" s="9" t="n">
        <v>7</v>
      </c>
      <c r="B14" t="n">
        <v>0.0175864765813757</v>
      </c>
      <c r="C14" t="n">
        <v>0.0175864765813757</v>
      </c>
      <c r="D14" t="n">
        <v>0.0175864765813757</v>
      </c>
    </row>
    <row r="15">
      <c r="A15" s="9" t="n">
        <v>8</v>
      </c>
      <c r="B15" t="n">
        <v>0.02110377189765084</v>
      </c>
      <c r="C15" t="n">
        <v>0.02110377189765084</v>
      </c>
      <c r="D15" t="n">
        <v>0.02110377189765084</v>
      </c>
    </row>
    <row r="16">
      <c r="A16" s="9" t="n">
        <v>9</v>
      </c>
      <c r="B16" t="n">
        <v>0.02532452627718101</v>
      </c>
      <c r="C16" t="n">
        <v>0.02532452627718101</v>
      </c>
      <c r="D16" t="n">
        <v>0.02532452627718101</v>
      </c>
    </row>
    <row r="17">
      <c r="A17" s="9" t="n">
        <v>10</v>
      </c>
      <c r="B17" t="n">
        <v>0.03038943153261721</v>
      </c>
      <c r="C17" t="n">
        <v>0.03038943153261721</v>
      </c>
      <c r="D17" t="n">
        <v>0.03038943153261721</v>
      </c>
    </row>
    <row r="18">
      <c r="A18" s="9" t="inlineStr">
        <is>
          <t>Grand Total</t>
        </is>
      </c>
      <c r="B18" t="n">
        <v>0.1583067134656214</v>
      </c>
      <c r="C18" t="n">
        <v>0.1583067134656214</v>
      </c>
      <c r="D18" t="n">
        <v>0.1583067134656214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2:J19"/>
  <sheetViews>
    <sheetView workbookViewId="0">
      <selection activeCell="I29" sqref="I29"/>
    </sheetView>
  </sheetViews>
  <sheetFormatPr baseColWidth="8" defaultRowHeight="14.4"/>
  <cols>
    <col width="13.109375" bestFit="1" customWidth="1" style="14" min="1" max="1"/>
    <col width="25.6640625" bestFit="1" customWidth="1" style="14" min="2" max="2"/>
    <col width="12" bestFit="1" customWidth="1" style="14" min="3" max="3"/>
    <col width="30.33203125" bestFit="1" customWidth="1" style="14" min="4" max="4"/>
    <col width="12" bestFit="1" customWidth="1" style="14" min="5" max="5"/>
    <col width="26.44140625" bestFit="1" customWidth="1" style="14" min="6" max="6"/>
    <col width="12" bestFit="1" customWidth="1" style="14" min="7" max="7"/>
    <col width="30.6640625" bestFit="1" customWidth="1" style="14" min="8" max="8"/>
    <col width="35.33203125" bestFit="1" customWidth="1" style="14" min="9" max="9"/>
    <col width="31.44140625" bestFit="1" customWidth="1" style="14" min="10" max="10"/>
  </cols>
  <sheetData>
    <row r="2">
      <c r="A2" s="8" t="inlineStr">
        <is>
          <t>Zone</t>
        </is>
      </c>
      <c r="B2" t="inlineStr">
        <is>
          <t>(All)</t>
        </is>
      </c>
    </row>
    <row r="4">
      <c r="B4" s="8" t="inlineStr">
        <is>
          <t>Column Labels</t>
        </is>
      </c>
    </row>
    <row r="5">
      <c r="B5" t="inlineStr">
        <is>
          <t>Max of Loading Percent [%]</t>
        </is>
      </c>
      <c r="D5" t="inlineStr">
        <is>
          <t>Average of Loading Percent [%]2</t>
        </is>
      </c>
      <c r="F5" t="inlineStr">
        <is>
          <t>Min of Loading Percent [%]3</t>
        </is>
      </c>
      <c r="H5" t="inlineStr">
        <is>
          <t>Total Max of Loading Percent [%]</t>
        </is>
      </c>
      <c r="I5" t="inlineStr">
        <is>
          <t>Total Average of Loading Percent [%]2</t>
        </is>
      </c>
      <c r="J5" t="inlineStr">
        <is>
          <t>Total Min of Loading Percent [%]3</t>
        </is>
      </c>
    </row>
    <row r="6">
      <c r="B6" t="n">
        <v>10</v>
      </c>
      <c r="C6" t="inlineStr">
        <is>
          <t>10 Total</t>
        </is>
      </c>
      <c r="D6" t="n">
        <v>10</v>
      </c>
      <c r="E6" t="inlineStr">
        <is>
          <t>10 Total</t>
        </is>
      </c>
      <c r="F6" t="n">
        <v>10</v>
      </c>
      <c r="G6" t="inlineStr">
        <is>
          <t>10 Total</t>
        </is>
      </c>
    </row>
    <row r="7">
      <c r="A7" s="8" t="inlineStr">
        <is>
          <t>Row Labels</t>
        </is>
      </c>
      <c r="B7" t="n">
        <v>0.4</v>
      </c>
      <c r="D7" t="n">
        <v>0.4</v>
      </c>
      <c r="F7" t="n">
        <v>0.4</v>
      </c>
    </row>
    <row r="8">
      <c r="A8" s="9" t="n">
        <v>0</v>
      </c>
      <c r="B8" t="n">
        <v>52.42563832807324</v>
      </c>
      <c r="C8" t="n">
        <v>52.42563832807324</v>
      </c>
      <c r="D8" t="n">
        <v>52.42563832807324</v>
      </c>
      <c r="E8" t="n">
        <v>52.42563832807324</v>
      </c>
      <c r="F8" t="n">
        <v>52.42563832807324</v>
      </c>
      <c r="G8" t="n">
        <v>52.42563832807324</v>
      </c>
      <c r="H8" t="n">
        <v>52.42563832807324</v>
      </c>
      <c r="I8" t="n">
        <v>52.42563832807324</v>
      </c>
      <c r="J8" t="n">
        <v>52.42563832807324</v>
      </c>
    </row>
    <row r="9">
      <c r="A9" s="9" t="n">
        <v>1</v>
      </c>
      <c r="B9" t="n">
        <v>52.42563832807324</v>
      </c>
      <c r="C9" t="n">
        <v>52.42563832807324</v>
      </c>
      <c r="D9" t="n">
        <v>52.42563832807324</v>
      </c>
      <c r="E9" t="n">
        <v>52.42563832807324</v>
      </c>
      <c r="F9" t="n">
        <v>52.42563832807324</v>
      </c>
      <c r="G9" t="n">
        <v>52.42563832807324</v>
      </c>
      <c r="H9" t="n">
        <v>52.42563832807324</v>
      </c>
      <c r="I9" t="n">
        <v>52.42563832807324</v>
      </c>
      <c r="J9" t="n">
        <v>52.42563832807324</v>
      </c>
    </row>
    <row r="10">
      <c r="A10" s="9" t="n">
        <v>2</v>
      </c>
      <c r="B10" t="n">
        <v>52.42563832807324</v>
      </c>
      <c r="C10" t="n">
        <v>52.42563832807324</v>
      </c>
      <c r="D10" t="n">
        <v>52.42563832807324</v>
      </c>
      <c r="E10" t="n">
        <v>52.42563832807324</v>
      </c>
      <c r="F10" t="n">
        <v>52.42563832807324</v>
      </c>
      <c r="G10" t="n">
        <v>52.42563832807324</v>
      </c>
      <c r="H10" t="n">
        <v>52.42563832807324</v>
      </c>
      <c r="I10" t="n">
        <v>52.42563832807324</v>
      </c>
      <c r="J10" t="n">
        <v>52.42563832807324</v>
      </c>
    </row>
    <row r="11">
      <c r="A11" s="9" t="n">
        <v>3</v>
      </c>
      <c r="B11" t="n">
        <v>56.4256383280732</v>
      </c>
      <c r="C11" t="n">
        <v>56.4256383280732</v>
      </c>
      <c r="D11" t="n">
        <v>54.42563832807321</v>
      </c>
      <c r="E11" t="n">
        <v>54.42563832807321</v>
      </c>
      <c r="F11" t="n">
        <v>52.42563832807324</v>
      </c>
      <c r="G11" t="n">
        <v>52.42563832807324</v>
      </c>
      <c r="H11" t="n">
        <v>56.4256383280732</v>
      </c>
      <c r="I11" t="n">
        <v>54.42563832807321</v>
      </c>
      <c r="J11" t="n">
        <v>52.42563832807324</v>
      </c>
    </row>
    <row r="12">
      <c r="A12" s="9" t="n">
        <v>4</v>
      </c>
      <c r="B12" t="n">
        <v>61.4256383280732</v>
      </c>
      <c r="C12" t="n">
        <v>61.4256383280732</v>
      </c>
      <c r="D12" t="n">
        <v>59.42563832807319</v>
      </c>
      <c r="E12" t="n">
        <v>59.42563832807319</v>
      </c>
      <c r="F12" t="n">
        <v>57.4256383280732</v>
      </c>
      <c r="G12" t="n">
        <v>57.4256383280732</v>
      </c>
      <c r="H12" t="n">
        <v>61.4256383280732</v>
      </c>
      <c r="I12" t="n">
        <v>59.42563832807319</v>
      </c>
      <c r="J12" t="n">
        <v>57.4256383280732</v>
      </c>
    </row>
    <row r="13">
      <c r="A13" s="9" t="n">
        <v>5</v>
      </c>
      <c r="B13" t="n">
        <v>66.42563832807321</v>
      </c>
      <c r="C13" t="n">
        <v>66.42563832807321</v>
      </c>
      <c r="D13" t="n">
        <v>64.42563832807321</v>
      </c>
      <c r="E13" t="n">
        <v>64.42563832807321</v>
      </c>
      <c r="F13" t="n">
        <v>62.4256383280732</v>
      </c>
      <c r="G13" t="n">
        <v>62.4256383280732</v>
      </c>
      <c r="H13" t="n">
        <v>66.42563832807321</v>
      </c>
      <c r="I13" t="n">
        <v>64.42563832807321</v>
      </c>
      <c r="J13" t="n">
        <v>62.4256383280732</v>
      </c>
    </row>
    <row r="14">
      <c r="A14" s="9" t="n">
        <v>6</v>
      </c>
      <c r="B14" t="n">
        <v>71.42563832807321</v>
      </c>
      <c r="C14" t="n">
        <v>71.42563832807321</v>
      </c>
      <c r="D14" t="n">
        <v>69.42563832807321</v>
      </c>
      <c r="E14" t="n">
        <v>69.42563832807321</v>
      </c>
      <c r="F14" t="n">
        <v>67.42563832807321</v>
      </c>
      <c r="G14" t="n">
        <v>67.42563832807321</v>
      </c>
      <c r="H14" t="n">
        <v>71.42563832807321</v>
      </c>
      <c r="I14" t="n">
        <v>69.42563832807321</v>
      </c>
      <c r="J14" t="n">
        <v>67.42563832807321</v>
      </c>
    </row>
    <row r="15">
      <c r="A15" s="9" t="n">
        <v>7</v>
      </c>
      <c r="B15" t="n">
        <v>76.42563832807321</v>
      </c>
      <c r="C15" t="n">
        <v>76.42563832807321</v>
      </c>
      <c r="D15" t="n">
        <v>74.42563832807321</v>
      </c>
      <c r="E15" t="n">
        <v>74.42563832807321</v>
      </c>
      <c r="F15" t="n">
        <v>72.42563832807321</v>
      </c>
      <c r="G15" t="n">
        <v>72.42563832807321</v>
      </c>
      <c r="H15" t="n">
        <v>76.42563832807321</v>
      </c>
      <c r="I15" t="n">
        <v>74.42563832807321</v>
      </c>
      <c r="J15" t="n">
        <v>72.42563832807321</v>
      </c>
    </row>
    <row r="16">
      <c r="A16" s="9" t="n">
        <v>8</v>
      </c>
      <c r="B16" t="n">
        <v>81.42563832807321</v>
      </c>
      <c r="C16" t="n">
        <v>81.42563832807321</v>
      </c>
      <c r="D16" t="n">
        <v>79.42563832807321</v>
      </c>
      <c r="E16" t="n">
        <v>79.42563832807321</v>
      </c>
      <c r="F16" t="n">
        <v>77.42563832807321</v>
      </c>
      <c r="G16" t="n">
        <v>77.42563832807321</v>
      </c>
      <c r="H16" t="n">
        <v>81.42563832807321</v>
      </c>
      <c r="I16" t="n">
        <v>79.42563832807321</v>
      </c>
      <c r="J16" t="n">
        <v>77.42563832807321</v>
      </c>
    </row>
    <row r="17">
      <c r="A17" s="9" t="n">
        <v>9</v>
      </c>
      <c r="B17" t="n">
        <v>86.42563832807321</v>
      </c>
      <c r="C17" t="n">
        <v>86.42563832807321</v>
      </c>
      <c r="D17" t="n">
        <v>84.42563832807321</v>
      </c>
      <c r="E17" t="n">
        <v>84.42563832807321</v>
      </c>
      <c r="F17" t="n">
        <v>82.42563832807321</v>
      </c>
      <c r="G17" t="n">
        <v>82.42563832807321</v>
      </c>
      <c r="H17" t="n">
        <v>86.42563832807321</v>
      </c>
      <c r="I17" t="n">
        <v>84.42563832807321</v>
      </c>
      <c r="J17" t="n">
        <v>82.42563832807321</v>
      </c>
    </row>
    <row r="18">
      <c r="A18" s="9" t="n">
        <v>10</v>
      </c>
      <c r="B18" t="n">
        <v>91.42563832807321</v>
      </c>
      <c r="C18" t="n">
        <v>91.42563832807321</v>
      </c>
      <c r="D18" t="n">
        <v>89.42563832807321</v>
      </c>
      <c r="E18" t="n">
        <v>89.42563832807321</v>
      </c>
      <c r="F18" t="n">
        <v>87.42563832807321</v>
      </c>
      <c r="G18" t="n">
        <v>87.42563832807321</v>
      </c>
      <c r="H18" t="n">
        <v>91.42563832807321</v>
      </c>
      <c r="I18" t="n">
        <v>89.42563832807321</v>
      </c>
      <c r="J18" t="n">
        <v>87.42563832807321</v>
      </c>
    </row>
    <row r="19">
      <c r="A19" s="9" t="inlineStr">
        <is>
          <t>Grand Total</t>
        </is>
      </c>
      <c r="B19" t="n">
        <v>91.42563832807321</v>
      </c>
      <c r="C19" t="n">
        <v>91.42563832807321</v>
      </c>
      <c r="D19" t="n">
        <v>67.14261946014861</v>
      </c>
      <c r="E19" t="n">
        <v>67.14261946014868</v>
      </c>
      <c r="F19" t="n">
        <v>52.42563832807324</v>
      </c>
      <c r="G19" t="n">
        <v>52.42563832807324</v>
      </c>
      <c r="H19" t="n">
        <v>91.42563832807321</v>
      </c>
      <c r="I19" t="n">
        <v>67.14261946014868</v>
      </c>
      <c r="J19" t="n">
        <v>52.42563832807324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2022-11-30T13:58:10Z</dcterms:modified>
  <cp:lastModifiedBy>Martin Oviedo</cp:lastModifiedBy>
</cp:coreProperties>
</file>