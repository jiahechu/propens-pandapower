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879C3EF9-5706-4463-A410-D2ED3829A4AD}" xr6:coauthVersionLast="47" xr6:coauthVersionMax="47" xr10:uidLastSave="{00000000-0000-0000-0000-000000000000}"/>
  <bookViews>
    <workbookView xWindow="-108" yWindow="-108" windowWidth="23256" windowHeight="12456" tabRatio="799" activeTab="7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ata" sheetId="17" r:id="rId8"/>
    <sheet name="Demand01" sheetId="16" r:id="rId9"/>
    <sheet name="Gen01" sheetId="9" state="hidden" r:id="rId10"/>
    <sheet name="Gen02" sheetId="10" state="hidden" r:id="rId11"/>
    <sheet name="bus01" sheetId="15" state="hidden" r:id="rId12"/>
    <sheet name="Lines01" sheetId="11" state="hidden" r:id="rId13"/>
    <sheet name="Lines02" sheetId="12" state="hidden" r:id="rId14"/>
    <sheet name="Trafos02" sheetId="13" state="hidden" r:id="rId15"/>
    <sheet name="Trafos01" sheetId="14" state="hidden" r:id="rId16"/>
  </sheets>
  <definedNames>
    <definedName name="_xlnm._FilterDatabase" localSheetId="4" hidden="1">Buses!$D$4:$L$4</definedName>
    <definedName name="_xlnm._FilterDatabase" localSheetId="7" hidden="1">Data!$B$2:$AS$2</definedName>
  </definedNames>
  <calcPr calcId="191029"/>
  <pivotCaches>
    <pivotCache cacheId="7" r:id="rId17"/>
    <pivotCache cacheId="8" r:id="rId18"/>
    <pivotCache cacheId="9" r:id="rId19"/>
    <pivotCache cacheId="15" r:id="rId20"/>
    <pivotCache cacheId="25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<sst xmlns="http://schemas.openxmlformats.org/spreadsheetml/2006/main" count="339" uniqueCount="122">
  <si>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</si>
  <si>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</si>
  <si>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</si>
  <si>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</si>
  <si>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</si>
  <si>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</si>
  <si>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</si>
  <si>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</si>
  <si>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</si>
  <si>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</si>
  <si>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</si>
  <si>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</si>
  <si>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</si>
  <si>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</si>
  <si>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</si>
  <si>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</si>
  <si>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</si>
  <si>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</si>
  <si>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</si>
  <si>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</si>
  <si>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</si>
  <si>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</si>
  <si>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</si>
  <si>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</si>
  <si>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</si>
  <si>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</si>
  <si>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</si>
  <si>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</si>
  <si>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</si>
  <si>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</si>
  <si>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</si>
  <si>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</si>
  <si>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</si>
  <si>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</si>
  <si>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</si>
  <si>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</si>
  <si>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</si>
  <si>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</si>
  <si>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</si>
  <si>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</si>
  <si>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</si>
  <si>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</si>
  <si>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</si>
  <si>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</si>
  <si>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</si>
  <si>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</si>
  <si>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</si>
  <si>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</si>
  <si>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</si>
  <si>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</si>
  <si>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</si>
  <si>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</si>
  <si>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</si>
  <si>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</si>
  <si>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</si>
  <si>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</si>
  <si>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</si>
  <si>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</si>
  <si>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</si>
  <si>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</si>
  <si>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</si>
  <si>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</si>
  <si>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</si>
  <si>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</si>
  <si>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</si>
  <si>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</si>
  <si>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</si>
  <si>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</si>
  <si>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</si>
  <si>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</si>
  <si>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</si>
  <si>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</si>
  <si>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</si>
  <si>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</si>
  <si>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</si>
  <si>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</si>
  <si>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</si>
  <si>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</si>
  <si>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</si>
  <si>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</si>
  <si>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</si>
  <si>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</si>
  <si>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</si>
  <si>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</si>
  <si>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</si>
  <si>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</si>
  <si>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</si>
  <si>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</si>
  <si>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</si>
  <si>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</si>
  <si>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</si>
  <si>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</si>
  <si>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</si>
  <si>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</si>
  <si>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</si>
  <si>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</si>
  <si>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</si>
  <si>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</si>
  <si>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</si>
  <si>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</si>
  <si>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</si>
  <si>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</si>
  <si>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</si>
  <si>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</si>
  <si>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</si>
  <si>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</si>
  <si>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</si>
  <si>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</si>
  <si>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</si>
  <si>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</si>
  <si>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</si>
  <si>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</si>
  <si>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</si>
  <si>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</si>
  <si>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</si>
  <si>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</si>
  <si>
    <t>(blank)</t>
  </si>
  <si>
    <t>Scenario Name</t>
  </si>
  <si>
    <t>scenario</t>
  </si>
  <si>
    <t>(blank) Total</t>
  </si>
  <si>
    <t>element</t>
  </si>
  <si>
    <t>max_q_mvar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</si>
</sst>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Lines02!$A$7:$A$8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Lines02!$B$7:$B$8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Trafos02!$B$6:$B$7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Trafos01!$B$5:$B$6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Trafos01!$C$5:$C$6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Trafos01!$D$5:$D$6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'Gen01'!$B$3:$B$5</c:f>
              <c:strCache>
                <c:ptCount val="1"/>
                <c:pt idx="0">
                  <c:v>(blank) - (blank)</c:v>
                </c:pt>
              </c:strCache>
            </c:strRef>
          </c:tx>
          <c:invertIfNegative val="0"/>
          <c:cat>
            <c:strRef>
              <c:f>'Gen01'!$A$6:$A$7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'Gen01'!$B$6:$B$7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'bus01'!$B$6:$B$7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Demand01!$B$6:$B$7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3</xdr:row>
          <xdr:rowOff>22860</xdr:rowOff>
        </xdr:from>
        <xdr:to>
          <xdr:col>4</xdr:col>
          <xdr:colOff>601980</xdr:colOff>
          <xdr:row>6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6</xdr:row>
          <xdr:rowOff>60960</xdr:rowOff>
        </xdr:from>
        <xdr:to>
          <xdr:col>4</xdr:col>
          <xdr:colOff>571500</xdr:colOff>
          <xdr:row>8</xdr:row>
          <xdr:rowOff>30480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199876</xdr:colOff>
      <xdr:row>42</xdr:row>
      <xdr:rowOff>33618</xdr:rowOff>
    </xdr:from>
    <xdr:to>
      <xdr:col>16</xdr:col>
      <xdr:colOff>59914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87264</xdr:colOff>
      <xdr:row>42</xdr:row>
      <xdr:rowOff>41414</xdr:rowOff>
    </xdr:from>
    <xdr:to>
      <xdr:col>23</xdr:col>
      <xdr:colOff>441010</xdr:colOff>
      <xdr:row>54</xdr:row>
      <xdr:rowOff>172242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185058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98001</xdr:colOff>
      <xdr:row>55</xdr:row>
      <xdr:rowOff>77474</xdr:rowOff>
    </xdr:from>
    <xdr:to>
      <xdr:col>23</xdr:col>
      <xdr:colOff>440541</xdr:colOff>
      <xdr:row>68</xdr:row>
      <xdr:rowOff>141514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216643</xdr:colOff>
      <xdr:row>55</xdr:row>
      <xdr:rowOff>69303</xdr:rowOff>
    </xdr:from>
    <xdr:to>
      <xdr:col>16</xdr:col>
      <xdr:colOff>67380</xdr:colOff>
      <xdr:row>68</xdr:row>
      <xdr:rowOff>145677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185059</xdr:colOff>
      <xdr:row>23</xdr:row>
      <xdr:rowOff>57978</xdr:rowOff>
    </xdr:from>
    <xdr:to>
      <xdr:col>23</xdr:col>
      <xdr:colOff>433755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190500</xdr:colOff>
      <xdr:row>69</xdr:row>
      <xdr:rowOff>6180</xdr:rowOff>
    </xdr:from>
    <xdr:to>
      <xdr:col>23</xdr:col>
      <xdr:colOff>431046</xdr:colOff>
      <xdr:row>84</xdr:row>
      <xdr:rowOff>179294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190500</xdr:colOff>
      <xdr:row>85</xdr:row>
      <xdr:rowOff>18281</xdr:rowOff>
    </xdr:from>
    <xdr:to>
      <xdr:col>23</xdr:col>
      <xdr:colOff>465015</xdr:colOff>
      <xdr:row>100</xdr:row>
      <xdr:rowOff>72501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2847221" createdVersion="8" refreshedVersion="8" minRefreshableVersion="3" recordCount="1" xr:uid="{31659242-2421-4528-918B-0B0964891456}">
  <cacheSource type="worksheet">
    <worksheetSource name="Lines"/>
  </cacheSource>
  <cacheFields count="20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from_bus" numFmtId="0">
      <sharedItems containsNonDate="0" containsString="0" containsBlank="1"/>
    </cacheField>
    <cacheField name="to_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length_km" numFmtId="0">
      <sharedItems containsNonDate="0" containsString="0" containsBlank="1"/>
    </cacheField>
    <cacheField name="max_i_ka" numFmtId="0">
      <sharedItems containsNonDate="0" containsString="0" containsBlank="1"/>
    </cacheField>
    <cacheField name="max_loading_percent" numFmtId="0">
      <sharedItems containsNonDate="0" containsString="0" containsBlank="1"/>
    </cacheField>
    <cacheField name="parallel" numFmtId="0">
      <sharedItems containsNonDate="0" containsString="0" containsBlank="1"/>
    </cacheField>
    <cacheField name="std_type" numFmtId="0">
      <sharedItems containsNonDate="0" containsString="0" containsBlank="1"/>
    </cacheField>
    <cacheField name="p_from_mw" numFmtId="0">
      <sharedItems containsNonDate="0" containsString="0" containsBlank="1"/>
    </cacheField>
    <cacheField name="q_from_mvar" numFmtId="0">
      <sharedItems containsNonDate="0" containsString="0" containsBlank="1"/>
    </cacheField>
    <cacheField name="p_to_mw" numFmtId="0">
      <sharedItems containsNonDate="0" containsString="0" containsBlank="1"/>
    </cacheField>
    <cacheField name="q_to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64351853" createdVersion="8" refreshedVersion="8" minRefreshableVersion="3" recordCount="1" xr:uid="{94605D9B-A09C-43DF-8117-38A3B979163A}">
  <cacheSource type="worksheet">
    <worksheetSource name="Trafos"/>
  </cacheSource>
  <cacheFields count="22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Blank="1" count="2">
        <m/>
        <s v="---" u="1"/>
      </sharedItems>
    </cacheField>
    <cacheField name="name" numFmtId="0">
      <sharedItems containsNonDate="0" containsString="0" containsBlank="1"/>
    </cacheField>
    <cacheField name="std_type" numFmtId="0">
      <sharedItems containsNonDate="0" containsString="0" containsBlank="1"/>
    </cacheField>
    <cacheField name="hv_bus" numFmtId="0">
      <sharedItems containsNonDate="0" containsString="0" containsBlank="1"/>
    </cacheField>
    <cacheField name="lv_bus" numFmtId="0">
      <sharedItems containsNonDate="0" containsString="0" containsBlank="1"/>
    </cacheField>
    <cacheField name="vn_hv_kv" numFmtId="0">
      <sharedItems containsNonDate="0" containsString="0" containsBlank="1"/>
    </cacheField>
    <cacheField name="vn_lv_kv" numFmtId="0">
      <sharedItems containsNonDate="0" containsString="0" containsBlank="1"/>
    </cacheField>
    <cacheField name="pfe_kw" numFmtId="0">
      <sharedItems containsNonDate="0" containsString="0" containsBlank="1"/>
    </cacheField>
    <cacheField name="shift_degree" numFmtId="0">
      <sharedItems containsNonDate="0" containsString="0" containsBlank="1"/>
    </cacheField>
    <cacheField name="tap_pos" numFmtId="0">
      <sharedItems containsNonDate="0" containsString="0" containsBlank="1"/>
    </cacheField>
    <cacheField name="parallel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hv_mw" numFmtId="0">
      <sharedItems containsNonDate="0" containsString="0" containsBlank="1"/>
    </cacheField>
    <cacheField name="q_hv_mvar" numFmtId="0">
      <sharedItems containsNonDate="0" containsString="0" containsBlank="1"/>
    </cacheField>
    <cacheField name="p_lv_mw" numFmtId="0">
      <sharedItems containsNonDate="0" containsString="0" containsBlank="1"/>
    </cacheField>
    <cacheField name="q_lv_mvar" numFmtId="0">
      <sharedItems containsNonDate="0" containsString="0" containsBlank="1"/>
    </cacheField>
    <cacheField name="pl_mw" numFmtId="0">
      <sharedItems containsNonDate="0" containsString="0" containsBlank="1"/>
    </cacheField>
    <cacheField name="ql_mvar" numFmtId="0">
      <sharedItems containsNonDate="0" containsString="0" containsBlank="1"/>
    </cacheField>
    <cacheField name="loading_perc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3.668776273145" createdVersion="8" refreshedVersion="8" minRefreshableVersion="3" recordCount="1" xr:uid="{5270DA27-09A3-4A5E-B1AE-BD7F984983B9}">
  <cacheSource type="worksheet">
    <worksheetSource name="Buses"/>
  </cacheSource>
  <cacheFields count="11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 containsNumber="1" containsInteger="1" minValue="0" maxValue="319" count="180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vn_kv" numFmtId="0">
      <sharedItems containsNonDate="0" containsString="0" containsBlank="1"/>
    </cacheField>
    <cacheField name="in_service" numFmtId="0">
      <sharedItems containsNonDate="0" containsString="0" containsBlank="1"/>
    </cacheField>
    <cacheField name="vm_pu" numFmtId="0">
      <sharedItems containsNonDate="0" containsString="0" containsBlank="1"/>
    </cacheField>
    <cacheField name="va_degre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6.923940509259" createdVersion="8" refreshedVersion="8" minRefreshableVersion="3" recordCount="1" xr:uid="{B39AD0D5-320F-4CDE-AAEA-6154DD2D13D1}">
  <cacheSource type="worksheet">
    <worksheetSource name="Generation"/>
  </cacheSource>
  <cacheFields count="16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name" numFmtId="0">
      <sharedItems containsNonDate="0" containsString="0" containsBlank="1"/>
    </cacheField>
    <cacheField name="type" numFmtId="0">
      <sharedItems containsNonDate="0" containsString="0" containsBlank="1"/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fuel" numFmtId="0">
      <sharedItems containsNonDate="0" containsBlank="1" count="5">
        <m/>
        <s v="NG" u="1"/>
        <s v="Wind" u="1"/>
        <s v="Coal" u="1"/>
        <s v="---" u="1"/>
      </sharedItems>
    </cacheField>
    <cacheField name="vm_pu" numFmtId="0">
      <sharedItems containsNonDate="0" containsString="0" containsBlank="1"/>
    </cacheField>
    <cacheField name="max_p_mw" numFmtId="0">
      <sharedItems containsNonDate="0" containsString="0" containsBlank="1"/>
    </cacheField>
    <cacheField name="max_q_mw" numFmtId="0">
      <sharedItems containsNonDate="0" containsString="0" containsBlank="1"/>
    </cacheField>
    <cacheField name="min_p_mw" numFmtId="0">
      <sharedItems containsNonDate="0" containsString="0" containsBlank="1"/>
    </cacheField>
    <cacheField name="min_q_mvar" numFmtId="0">
      <sharedItems containsNonDate="0" containsString="0" containsBlank="1"/>
    </cacheField>
    <cacheField name="p_mw 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6.924375694442" createdVersion="8" refreshedVersion="8" minRefreshableVersion="3" recordCount="1" xr:uid="{FD2DEA7C-01DB-41E3-9168-1201B46ACFCF}">
  <cacheSource type="worksheet">
    <worksheetSource name="Demand"/>
  </cacheSource>
  <cacheFields count="9">
    <cacheField name="step" numFmtId="0">
      <sharedItems containsNonDate="0" containsString="0" containsBlank="1" containsNumber="1" containsInteger="1" minValue="0" maxValue="19" count="21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numFmtId="0">
      <sharedItems containsNonDate="0" containsString="0" containsBlank="1"/>
    </cacheField>
    <cacheField name="scenario" numFmtId="0">
      <sharedItems containsNonDate="0" containsString="0" containsBlank="1" count="1">
        <m/>
      </sharedItems>
    </cacheField>
    <cacheField name="name" numFmtId="0">
      <sharedItems containsNonDate="0" containsString="0" containsBlank="1"/>
    </cacheField>
    <cacheField name="zone" numFmtId="0">
      <sharedItems containsNonDate="0" containsString="0" containsBlank="1" containsNumber="1" containsInteger="1" minValue="1" maxValue="1" count="2">
        <m/>
        <n v="1" u="1"/>
      </sharedItems>
    </cacheField>
    <cacheField name="bus" numFmtId="0">
      <sharedItems containsNonDate="0" containsString="0" containsBlank="1"/>
    </cacheField>
    <cacheField name="in_service" numFmtId="0">
      <sharedItems containsNonDate="0" containsString="0" containsBlank="1"/>
    </cacheField>
    <cacheField name="p_mw" numFmtId="0">
      <sharedItems containsNonDate="0" containsString="0" containsBlank="1"/>
    </cacheField>
    <cacheField name="q_mv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m/>
    <m/>
    <m/>
    <m/>
    <x v="0"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9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1">
    <field x="4"/>
  </colFields>
  <colItems count="2">
    <i>
      <x v="1"/>
    </i>
    <i t="grand">
      <x/>
    </i>
  </colItems>
  <pageFields count="1">
    <pageField fld="2" hier="-1"/>
  </pageFields>
  <dataFields count="1">
    <dataField name="Sum of p_mw" fld="7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1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A3:D7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1"/>
        <item m="1" x="2"/>
        <item x="0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chartFormats count="8">
    <chartFormat chart="1" format="1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  <chartFormat chart="7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8" firstHeaderRow="1" firstDataRow="3" firstDataCol="1" rowPageCount="1" colPageCount="1"/>
  <pivotFields count="16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axis="axisCol" showAll="0">
      <items count="6">
        <item m="1" x="3"/>
        <item m="1" x="1"/>
        <item m="1" x="2"/>
        <item x="0"/>
        <item m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">
    <i>
      <x v="20"/>
    </i>
    <i t="grand">
      <x/>
    </i>
  </rowItems>
  <colFields count="2">
    <field x="8"/>
    <field x="3"/>
  </colFields>
  <colItems count="3">
    <i>
      <x v="3"/>
      <x v="1"/>
    </i>
    <i t="default">
      <x v="3"/>
    </i>
    <i t="grand">
      <x/>
    </i>
  </colItems>
  <pageFields count="1">
    <pageField fld="2" hier="-1"/>
  </pageFields>
  <dataFields count="1">
    <dataField name="Sum of p_mw 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C7" firstHeaderRow="1" firstDataRow="2" firstDataCol="1" rowPageCount="2" colPageCount="1"/>
  <pivotFields count="11">
    <pivotField axis="axisPage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axis="axisRow" showAll="0">
      <items count="181">
        <item m="1" x="1"/>
        <item m="1" x="106"/>
        <item m="1" x="44"/>
        <item m="1" x="109"/>
        <item m="1" x="171"/>
        <item m="1" x="22"/>
        <item m="1" x="47"/>
        <item m="1" x="79"/>
        <item m="1" x="112"/>
        <item m="1" x="155"/>
        <item m="1" x="162"/>
        <item m="1" x="168"/>
        <item m="1" x="176"/>
        <item m="1" x="88"/>
        <item m="1" x="4"/>
        <item m="1" x="95"/>
        <item m="1" x="11"/>
        <item m="1" x="102"/>
        <item m="1" x="19"/>
        <item m="1" x="113"/>
        <item m="1" x="28"/>
        <item m="1" x="121"/>
        <item m="1" x="33"/>
        <item m="1" x="127"/>
        <item m="1" x="37"/>
        <item m="1" x="136"/>
        <item m="1" x="45"/>
        <item m="1" x="141"/>
        <item m="1" x="51"/>
        <item m="1" x="152"/>
        <item m="1" x="58"/>
        <item m="1" x="159"/>
        <item m="1" x="66"/>
        <item m="1" x="165"/>
        <item m="1" x="75"/>
        <item m="1" x="173"/>
        <item m="1" x="84"/>
        <item m="1" x="3"/>
        <item m="1" x="93"/>
        <item m="1" x="117"/>
        <item m="1" x="70"/>
        <item m="1" x="177"/>
        <item m="1" x="133"/>
        <item m="1" x="89"/>
        <item m="1" x="41"/>
        <item m="1" x="5"/>
        <item m="1" x="138"/>
        <item m="1" x="96"/>
        <item m="1" x="48"/>
        <item m="1" x="12"/>
        <item m="1" x="148"/>
        <item m="1" x="103"/>
        <item m="1" x="55"/>
        <item m="1" x="20"/>
        <item m="1" x="157"/>
        <item m="1" x="114"/>
        <item m="1" x="64"/>
        <item m="1" x="81"/>
        <item m="1" x="38"/>
        <item m="1" x="91"/>
        <item m="1" x="8"/>
        <item m="1" x="142"/>
        <item m="1" x="99"/>
        <item m="1" x="52"/>
        <item m="1" x="16"/>
        <item m="1" x="107"/>
        <item m="1" x="59"/>
        <item m="1" x="23"/>
        <item m="1" x="160"/>
        <item m="1" x="116"/>
        <item m="1" x="67"/>
        <item m="1" x="35"/>
        <item m="1" x="174"/>
        <item m="1" x="131"/>
        <item m="1" x="85"/>
        <item m="1" x="40"/>
        <item m="1" x="146"/>
        <item m="1" x="128"/>
        <item m="1" x="82"/>
        <item m="1" x="156"/>
        <item m="1" x="39"/>
        <item m="1" x="110"/>
        <item m="1" x="62"/>
        <item m="1" x="137"/>
        <item m="1" x="26"/>
        <item m="1" x="163"/>
        <item m="1" x="46"/>
        <item m="1" x="118"/>
        <item m="1" x="9"/>
        <item m="1" x="71"/>
        <item m="1" x="143"/>
        <item m="1" x="32"/>
        <item m="1" x="100"/>
        <item m="1" x="169"/>
        <item m="1" x="53"/>
        <item m="1" x="125"/>
        <item m="1" x="153"/>
        <item m="1" x="108"/>
        <item m="1" x="60"/>
        <item m="1" x="24"/>
        <item m="1" x="161"/>
        <item m="1" x="42"/>
        <item m="1" x="30"/>
        <item m="1" x="97"/>
        <item m="1" x="166"/>
        <item m="1" x="49"/>
        <item m="1" x="123"/>
        <item m="1" x="13"/>
        <item m="1" x="76"/>
        <item m="1" x="149"/>
        <item m="1" x="104"/>
        <item m="1" x="56"/>
        <item m="1" x="86"/>
        <item m="1" x="115"/>
        <item m="1" x="65"/>
        <item m="1" x="29"/>
        <item m="1" x="94"/>
        <item m="1" x="164"/>
        <item m="1" x="122"/>
        <item m="1" x="74"/>
        <item m="1" x="147"/>
        <item m="1" x="34"/>
        <item m="1" x="101"/>
        <item m="1" x="172"/>
        <item m="1" x="54"/>
        <item m="1" x="129"/>
        <item m="1" x="17"/>
        <item m="1" x="111"/>
        <item m="1" x="63"/>
        <item m="1" x="92"/>
        <item m="1" x="119"/>
        <item m="1" x="72"/>
        <item m="1" x="144"/>
        <item m="1" x="170"/>
        <item m="1" x="126"/>
        <item m="1" x="80"/>
        <item m="1" x="154"/>
        <item m="1" x="178"/>
        <item m="1" x="134"/>
        <item m="1" x="90"/>
        <item m="1" x="6"/>
        <item m="1" x="68"/>
        <item m="1" x="139"/>
        <item m="1" x="31"/>
        <item m="1" x="98"/>
        <item m="1" x="167"/>
        <item m="1" x="50"/>
        <item m="1" x="124"/>
        <item m="1" x="14"/>
        <item m="1" x="77"/>
        <item m="1" x="150"/>
        <item m="1" x="36"/>
        <item m="1" x="105"/>
        <item m="1" x="175"/>
        <item m="1" x="158"/>
        <item m="1" x="179"/>
        <item m="1" x="61"/>
        <item m="1" x="135"/>
        <item m="1" x="25"/>
        <item m="1" x="43"/>
        <item m="1" x="7"/>
        <item m="1" x="130"/>
        <item m="1" x="69"/>
        <item m="1" x="18"/>
        <item m="1" x="140"/>
        <item m="1" x="83"/>
        <item m="1" x="2"/>
        <item m="1" x="15"/>
        <item m="1" x="78"/>
        <item m="1" x="27"/>
        <item m="1" x="151"/>
        <item m="1" x="120"/>
        <item m="1" x="57"/>
        <item m="1" x="10"/>
        <item m="1" x="132"/>
        <item m="1" x="73"/>
        <item m="1" x="21"/>
        <item m="1" x="145"/>
        <item m="1" x="87"/>
        <item x="0"/>
        <item t="default"/>
      </items>
    </pivotField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2">
    <i>
      <x v="179"/>
    </i>
    <i t="grand">
      <x/>
    </i>
  </rowItems>
  <colFields count="1">
    <field x="3"/>
  </colFields>
  <colItems count="2">
    <i>
      <x v="1"/>
    </i>
    <i t="grand">
      <x/>
    </i>
  </colItems>
  <pageFields count="2">
    <pageField fld="0" item="20" hier="-1"/>
    <pageField fld="2" hier="-1"/>
  </pageFields>
  <dataFields count="1">
    <dataField name="Sum of vm_pu" fld="7" baseField="0" baseItem="0"/>
  </dataFields>
  <chartFormats count="2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19" subtotal="max" baseField="1" baseItem="92"/>
    <dataField name="Min of loading_percent" fld="19" subtotal="min" baseField="9" baseItem="0"/>
    <dataField name="Average of loading_percent" fld="19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8" firstHeaderRow="1" firstDataRow="2" firstDataCol="1" rowPageCount="1" colPageCount="1"/>
  <pivotFields count="20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7" baseField="0" baseItem="0"/>
  </dataFields>
  <chartFormats count="2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1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">
    <i>
      <x v="20"/>
    </i>
    <i t="grand">
      <x/>
    </i>
  </rowItems>
  <colFields count="1">
    <field x="3"/>
  </colFields>
  <colItems count="2">
    <i>
      <x v="1"/>
    </i>
    <i t="grand">
      <x/>
    </i>
  </colItems>
  <pageFields count="1">
    <pageField fld="2" hier="-1"/>
  </pageFields>
  <dataFields count="1">
    <dataField name="Sum of pl_mw" fld="19" baseField="0" baseItem="0"/>
  </dataFields>
  <chartFormats count="3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6" firstHeaderRow="0" firstDataRow="1" firstDataCol="1" rowPageCount="2" colPageCount="1"/>
  <pivotFields count="22">
    <pivotField axis="axisRow" showAll="0">
      <items count="22">
        <item m="1" x="1"/>
        <item m="1" x="13"/>
        <item m="1" x="6"/>
        <item m="1" x="14"/>
        <item m="1" x="19"/>
        <item m="1" x="3"/>
        <item m="1" x="7"/>
        <item m="1" x="12"/>
        <item m="1" x="15"/>
        <item m="1" x="16"/>
        <item m="1" x="17"/>
        <item m="1" x="18"/>
        <item m="1" x="20"/>
        <item m="1" x="2"/>
        <item m="1" x="4"/>
        <item m="1" x="5"/>
        <item m="1" x="8"/>
        <item m="1" x="9"/>
        <item m="1" x="10"/>
        <item m="1" x="11"/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-1"/>
    <pageField fld="3" hier="-1"/>
  </pageFields>
  <dataFields count="3">
    <dataField name="Max of loading_percent" fld="21" subtotal="max" baseField="9" baseItem="0"/>
    <dataField name="Min of loading_percent" fld="21" subtotal="min" baseField="0" baseItem="1"/>
    <dataField name="Average of loading_percent" fld="21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449022-509C-496B-8BF2-6A8C3C64CDD3}" name="Data" displayName="Data" ref="B2:AS3" totalsRowShown="0">
  <autoFilter ref="B2:AS3" xr:uid="{F4449022-509C-496B-8BF2-6A8C3C64CDD3}"/>
  <tableColumns count="44">
    <tableColumn id="1" xr3:uid="{C03B4A52-93BC-448C-AC40-11CFD1C6375D}" name="step"/>
    <tableColumn id="2" xr3:uid="{251BB739-BDDD-4389-B786-B52E765CE0FD}" name="index"/>
    <tableColumn id="3" xr3:uid="{D3ED4DEA-3EF6-4683-A216-8EC7E83DD551}" name="scenario"/>
    <tableColumn id="4" xr3:uid="{0CC7D435-538B-4087-BB5B-FDBC0118D6B6}" name="zone"/>
    <tableColumn id="5" xr3:uid="{118BDAA0-5649-46AC-A2C9-CBD6D01A0CF0}" name="name"/>
    <tableColumn id="6" xr3:uid="{66E4625D-7B23-4113-A66C-F7F839C8D91B}" name="vn_kv"/>
    <tableColumn id="7" xr3:uid="{04DC3BEE-35A2-4E11-B5C9-B1675B5E67A8}" name="in_service"/>
    <tableColumn id="8" xr3:uid="{80C33C7A-9728-4D97-AEC5-8B51AE9E11B9}" name="vm_pu"/>
    <tableColumn id="9" xr3:uid="{9FD88AE6-E804-46F4-A6DD-D8C952B7E50F}" name="va_degree"/>
    <tableColumn id="10" xr3:uid="{030EE73F-C070-4D52-B5F2-F2CD339E7C93}" name="p_mw"/>
    <tableColumn id="11" xr3:uid="{7A5F63A8-C25A-4523-B1C0-C4961A6FF3C8}" name="q_mvar"/>
    <tableColumn id="12" xr3:uid="{174D6746-ED57-431F-95C0-934B05E59A16}" name="element"/>
    <tableColumn id="13" xr3:uid="{15568120-81CE-4AED-AC5B-6EC0FFB2DC01}" name="bus"/>
    <tableColumn id="14" xr3:uid="{0C453628-0C6A-4686-A47B-110B3ACEFA44}" name="type"/>
    <tableColumn id="15" xr3:uid="{D5B6E2C2-F807-4DB7-9D80-694CCCA60878}" name="fuel"/>
    <tableColumn id="16" xr3:uid="{E488D743-40A4-4FA1-8F37-40669A0E0AD2}" name="max_p_mw"/>
    <tableColumn id="17" xr3:uid="{DF1738F8-68AF-450E-8D1C-D086EE1AC2A8}" name="max_q_mvar"/>
    <tableColumn id="18" xr3:uid="{D74E1BAD-8CF3-4061-BBD5-C92C1D72A687}" name="min_p_mw"/>
    <tableColumn id="19" xr3:uid="{916E0300-5D7F-4DB3-9224-9FD664D09DC3}" name="min_q_mvar"/>
    <tableColumn id="20" xr3:uid="{56B5E52F-DFBB-4165-A8DF-F03F2308CF5F}" name="from_bus"/>
    <tableColumn id="21" xr3:uid="{6E2B0F62-8090-4734-AD88-D649B2AF021F}" name="to_bus"/>
    <tableColumn id="22" xr3:uid="{4A52CD03-672F-417E-9345-9102D5AE4A4D}" name="length_km"/>
    <tableColumn id="23" xr3:uid="{3062925A-810E-4FF2-9E3C-3468F01D60BB}" name="max_i_ka"/>
    <tableColumn id="24" xr3:uid="{DAD680DF-DEDE-4B39-8421-C5147F8B31AA}" name="max_loading_percent"/>
    <tableColumn id="25" xr3:uid="{8250D0AD-0557-432E-84A4-BB9AB721DC1F}" name="parallel"/>
    <tableColumn id="26" xr3:uid="{C092286F-9598-4E56-AFB9-F168831933A5}" name="std_type"/>
    <tableColumn id="27" xr3:uid="{F0E09303-B008-4BEF-BE02-A330F6F881CE}" name="p_from_mw"/>
    <tableColumn id="28" xr3:uid="{EF915F13-23FF-4093-BE3E-E9DEE6FE0888}" name="q_from_mvar"/>
    <tableColumn id="29" xr3:uid="{AD3F7F17-DA1F-482D-A391-A7BA2B93CF12}" name="p_to_mw"/>
    <tableColumn id="30" xr3:uid="{21AAEEE0-4972-48E2-9041-69E466409652}" name="q_to_mvar"/>
    <tableColumn id="31" xr3:uid="{36BCC68A-94EC-4372-8498-E56E90A19F95}" name="pl_mw"/>
    <tableColumn id="32" xr3:uid="{DFDFADCF-3586-4A53-A50A-40615D6D3A47}" name="ql_mvar"/>
    <tableColumn id="33" xr3:uid="{58C31619-DBED-453D-916C-8F831593B7F3}" name="loading_percent"/>
    <tableColumn id="34" xr3:uid="{D1AB3743-9CD6-4458-B7B2-8842F9CE1C55}" name="hv_bus"/>
    <tableColumn id="35" xr3:uid="{E1D5257F-F065-4A65-A3CE-22E661095446}" name="lv_bus"/>
    <tableColumn id="36" xr3:uid="{4EC426FC-617B-47BD-937C-3BFA9D951752}" name="vn_hv_kv"/>
    <tableColumn id="37" xr3:uid="{569613F6-8D2D-49CD-B345-F3C54EE1F3BE}" name="vn_lv_kv"/>
    <tableColumn id="38" xr3:uid="{3A01C89E-767A-41D7-B790-E757E00D79FA}" name="pfe_kw"/>
    <tableColumn id="39" xr3:uid="{A921715E-728B-4AB0-A6D7-F1F0129D4823}" name="shift_degree"/>
    <tableColumn id="40" xr3:uid="{76475B70-3B84-4C91-96DF-52B7DBFBA251}" name="tap_pos"/>
    <tableColumn id="41" xr3:uid="{95D298B7-3799-4FDB-B4E5-736E57C31F54}" name="p_hv_mw"/>
    <tableColumn id="42" xr3:uid="{EA8ABEEC-4999-45F0-8837-9A8697F5119D}" name="q_hv_mvar"/>
    <tableColumn id="43" xr3:uid="{F2E29594-916A-434B-8977-9D4B8DDB0345}" name="p_lv_mw"/>
    <tableColumn id="44" xr3:uid="{011CD8E5-980B-4785-AAFB-D9C4C2913BB0}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workbookViewId="0">
      <selection activeCell="M20" sqref="M20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shboard_create">
                <anchor moveWithCells="1" sizeWithCells="1">
                  <from>
                    <xdr:col>0</xdr:col>
                    <xdr:colOff>601980</xdr:colOff>
                    <xdr:row>3</xdr:row>
                    <xdr:rowOff>22860</xdr:rowOff>
                  </from>
                  <to>
                    <xdr:col>4</xdr:col>
                    <xdr:colOff>601980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view">
                <anchor moveWithCells="1" sizeWithCells="1">
                  <from>
                    <xdr:col>1</xdr:col>
                    <xdr:colOff>7620</xdr:colOff>
                    <xdr:row>6</xdr:row>
                    <xdr:rowOff>60960</xdr:rowOff>
                  </from>
                  <to>
                    <xdr:col>4</xdr:col>
                    <xdr:colOff>571500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zoomScale="65" zoomScaleNormal="145" workbookViewId="0">
      <selection activeCell="AA5" sqref="AA5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workbookViewId="0">
      <selection activeCell="D52" sqref="D52"/>
    </sheetView>
  </sheetViews>
  <sheetFormatPr defaultRowHeight="14.4" x14ac:dyDescent="0.3"/>
  <cols>
    <col min="2" max="2" width="12.6640625" customWidth="1"/>
    <col min="3" max="3" width="9" bestFit="1" customWidth="1"/>
    <col min="4" max="4" width="10" bestFit="1" customWidth="1"/>
    <col min="5" max="6" width="10" customWidth="1"/>
    <col min="7" max="7" width="9.44140625" bestFit="1" customWidth="1"/>
    <col min="8" max="8" width="9.109375" bestFit="1" customWidth="1"/>
    <col min="9" max="9" width="13.6640625" bestFit="1" customWidth="1"/>
    <col min="10" max="10" width="12" bestFit="1" customWidth="1"/>
    <col min="11" max="11" width="14" bestFit="1" customWidth="1"/>
  </cols>
  <sheetData>
    <row r="2" spans="2:11" ht="21" x14ac:dyDescent="0.3">
      <c r="C2" s="15" t="s">
        <v>8</v>
      </c>
      <c r="D2" s="15"/>
      <c r="E2" s="15"/>
      <c r="F2" s="15"/>
      <c r="G2" s="15"/>
      <c r="H2" s="15"/>
      <c r="I2" s="15"/>
      <c r="J2" s="15"/>
      <c r="K2" s="15"/>
    </row>
    <row r="3" spans="2:11" ht="29.4" thickBot="1" x14ac:dyDescent="0.35">
      <c r="B3" s="9" t="s">
        <v>50</v>
      </c>
      <c r="C3" s="11" t="s">
        <v>30</v>
      </c>
      <c r="D3" s="11" t="s">
        <v>11</v>
      </c>
      <c r="E3" s="11" t="s">
        <v>117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29.4" thickBot="1" x14ac:dyDescent="0.35">
      <c r="B4" s="9" t="s">
        <v>49</v>
      </c>
      <c r="C4" s="3" t="s">
        <v>53</v>
      </c>
      <c r="D4" s="12" t="s">
        <v>54</v>
      </c>
      <c r="E4" s="12" t="s">
        <v>118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3">
      <c r="B5" s="9"/>
      <c r="C5" s="4"/>
    </row>
    <row r="6" spans="2:11" x14ac:dyDescent="0.3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workbookViewId="0">
      <selection activeCell="E3" sqref="E3"/>
    </sheetView>
  </sheetViews>
  <sheetFormatPr defaultRowHeight="14.4" x14ac:dyDescent="0.3"/>
  <cols>
    <col min="1" max="1" width="6" customWidth="1"/>
    <col min="2" max="2" width="11.6640625" bestFit="1" customWidth="1"/>
    <col min="4" max="5" width="11.109375" customWidth="1"/>
    <col min="6" max="6" width="10.5546875" bestFit="1" customWidth="1"/>
    <col min="7" max="7" width="10" bestFit="1" customWidth="1"/>
    <col min="8" max="9" width="10" customWidth="1"/>
    <col min="10" max="10" width="11.44140625" customWidth="1"/>
    <col min="11" max="11" width="10.88671875" bestFit="1" customWidth="1"/>
    <col min="12" max="12" width="12.44140625" bestFit="1" customWidth="1"/>
    <col min="13" max="13" width="12" bestFit="1" customWidth="1"/>
    <col min="14" max="14" width="12.44140625" bestFit="1" customWidth="1"/>
    <col min="15" max="15" width="15.33203125" customWidth="1"/>
    <col min="16" max="16" width="14.109375" customWidth="1"/>
    <col min="17" max="18" width="14.88671875" customWidth="1"/>
  </cols>
  <sheetData>
    <row r="2" spans="2:18" ht="21" x14ac:dyDescent="0.3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2:18" ht="58.2" thickBot="1" x14ac:dyDescent="0.35">
      <c r="B3" s="9" t="s">
        <v>50</v>
      </c>
      <c r="C3" s="3" t="s">
        <v>30</v>
      </c>
      <c r="D3" s="6" t="s">
        <v>16</v>
      </c>
      <c r="E3" s="6" t="s">
        <v>117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28.8" x14ac:dyDescent="0.3">
      <c r="B4" s="6" t="s">
        <v>49</v>
      </c>
      <c r="C4" s="12" t="s">
        <v>31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3">
      <c r="B5" s="9"/>
      <c r="C5" s="4"/>
      <c r="D5" s="14"/>
      <c r="E5" s="14"/>
    </row>
    <row r="6" spans="2:18" x14ac:dyDescent="0.3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workbookViewId="0">
      <selection activeCell="F11" sqref="F11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33203125" bestFit="1" customWidth="1"/>
    <col min="9" max="9" width="13.6640625" bestFit="1" customWidth="1"/>
    <col min="10" max="10" width="11.33203125" bestFit="1" customWidth="1"/>
    <col min="11" max="11" width="14.33203125" bestFit="1" customWidth="1"/>
    <col min="12" max="12" width="12" bestFit="1" customWidth="1"/>
    <col min="13" max="13" width="14" bestFit="1" customWidth="1"/>
  </cols>
  <sheetData>
    <row r="1" spans="2:13" ht="15.6" customHeight="1" x14ac:dyDescent="0.3"/>
    <row r="2" spans="2:13" ht="21" x14ac:dyDescent="0.3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2:13" ht="29.4" thickBot="1" x14ac:dyDescent="0.35">
      <c r="B3" s="9" t="s">
        <v>50</v>
      </c>
      <c r="C3" s="11" t="s">
        <v>30</v>
      </c>
      <c r="D3" s="11" t="s">
        <v>9</v>
      </c>
      <c r="E3" s="11" t="s">
        <v>117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3">
      <c r="B5" s="9"/>
      <c r="C5" s="4"/>
    </row>
    <row r="6" spans="2:13" x14ac:dyDescent="0.3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topLeftCell="A2" workbookViewId="0">
      <selection activeCell="G8" sqref="G8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6640625" bestFit="1" customWidth="1"/>
    <col min="9" max="9" width="11.33203125" bestFit="1" customWidth="1"/>
    <col min="10" max="11" width="12.6640625" bestFit="1" customWidth="1"/>
    <col min="12" max="12" width="12.44140625" bestFit="1" customWidth="1"/>
    <col min="13" max="13" width="15" bestFit="1" customWidth="1"/>
    <col min="14" max="14" width="11.5546875" bestFit="1" customWidth="1"/>
    <col min="15" max="16" width="12.6640625" bestFit="1" customWidth="1"/>
    <col min="17" max="17" width="17" bestFit="1" customWidth="1"/>
    <col min="18" max="18" width="13.44140625" bestFit="1" customWidth="1"/>
    <col min="19" max="19" width="14.6640625" bestFit="1" customWidth="1"/>
    <col min="20" max="21" width="12.33203125" bestFit="1" customWidth="1"/>
    <col min="22" max="22" width="12.6640625" bestFit="1" customWidth="1"/>
  </cols>
  <sheetData>
    <row r="2" spans="2:22" ht="21" x14ac:dyDescent="0.3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</row>
    <row r="3" spans="2:22" ht="43.8" thickBot="1" x14ac:dyDescent="0.35">
      <c r="B3" s="9" t="s">
        <v>50</v>
      </c>
      <c r="C3" s="13" t="s">
        <v>31</v>
      </c>
      <c r="D3" s="13" t="s">
        <v>20</v>
      </c>
      <c r="E3" s="13" t="s">
        <v>117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3">
      <c r="B4" s="9" t="s">
        <v>49</v>
      </c>
      <c r="C4" s="2" t="s">
        <v>53</v>
      </c>
      <c r="D4" s="2" t="s">
        <v>54</v>
      </c>
      <c r="E4" s="2" t="s">
        <v>118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3">
      <c r="B5" s="9"/>
      <c r="C5" s="4"/>
    </row>
    <row r="6" spans="2:22" x14ac:dyDescent="0.3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topLeftCell="B1" workbookViewId="0">
      <selection activeCell="E5" sqref="E5"/>
    </sheetView>
  </sheetViews>
  <sheetFormatPr defaultRowHeight="14.4" x14ac:dyDescent="0.3"/>
  <cols>
    <col min="1" max="1" width="3.6640625" customWidth="1"/>
    <col min="2" max="2" width="11.6640625" bestFit="1" customWidth="1"/>
    <col min="7" max="7" width="9" customWidth="1"/>
    <col min="12" max="12" width="11.33203125" customWidth="1"/>
    <col min="13" max="13" width="9.6640625" customWidth="1"/>
    <col min="14" max="14" width="10.6640625" customWidth="1"/>
  </cols>
  <sheetData>
    <row r="2" spans="2:24" ht="21" x14ac:dyDescent="0.3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24" ht="58.2" thickBot="1" x14ac:dyDescent="0.35">
      <c r="B3" s="9" t="s">
        <v>50</v>
      </c>
      <c r="C3" s="11" t="s">
        <v>30</v>
      </c>
      <c r="D3" s="11" t="s">
        <v>32</v>
      </c>
      <c r="E3" s="11" t="s">
        <v>117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28.8" x14ac:dyDescent="0.3">
      <c r="B4" s="9" t="s">
        <v>49</v>
      </c>
      <c r="C4" s="12" t="s">
        <v>53</v>
      </c>
      <c r="D4" s="12" t="s">
        <v>54</v>
      </c>
      <c r="E4" s="12" t="s">
        <v>118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3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B1:AS2"/>
  <sheetViews>
    <sheetView tabSelected="1" workbookViewId="0">
      <selection activeCell="E4" sqref="E4"/>
    </sheetView>
  </sheetViews>
  <sheetFormatPr defaultRowHeight="14.4" x14ac:dyDescent="0.3"/>
  <cols>
    <col min="4" max="4" width="9.77734375" customWidth="1"/>
    <col min="8" max="8" width="11" customWidth="1"/>
    <col min="10" max="10" width="11.33203125" customWidth="1"/>
    <col min="12" max="12" width="9" customWidth="1"/>
    <col min="13" max="13" width="9.5546875" customWidth="1"/>
    <col min="17" max="17" width="12.33203125" customWidth="1"/>
    <col min="18" max="18" width="13.44140625" customWidth="1"/>
    <col min="19" max="19" width="11.88671875" customWidth="1"/>
    <col min="20" max="20" width="13" customWidth="1"/>
    <col min="21" max="21" width="10.6640625" customWidth="1"/>
    <col min="23" max="23" width="11.33203125" customWidth="1"/>
    <col min="24" max="24" width="10.6640625" customWidth="1"/>
    <col min="25" max="25" width="20.44140625" customWidth="1"/>
    <col min="27" max="27" width="9.88671875" customWidth="1"/>
    <col min="28" max="28" width="12.88671875" customWidth="1"/>
    <col min="29" max="29" width="14" customWidth="1"/>
    <col min="30" max="30" width="10.6640625" customWidth="1"/>
    <col min="31" max="31" width="11.77734375" customWidth="1"/>
    <col min="33" max="33" width="9.44140625" customWidth="1"/>
    <col min="34" max="34" width="16" customWidth="1"/>
    <col min="37" max="37" width="10.44140625" customWidth="1"/>
    <col min="38" max="38" width="9.88671875" customWidth="1"/>
    <col min="40" max="40" width="13" customWidth="1"/>
    <col min="41" max="41" width="9.44140625" customWidth="1"/>
    <col min="42" max="42" width="10.77734375" customWidth="1"/>
    <col min="43" max="43" width="11.88671875" customWidth="1"/>
    <col min="44" max="44" width="10.21875" customWidth="1"/>
    <col min="45" max="45" width="11.33203125" customWidth="1"/>
  </cols>
  <sheetData>
    <row r="1" spans="2:45" x14ac:dyDescent="0.3">
      <c r="B1" t="s">
        <v>53</v>
      </c>
      <c r="C1" t="s">
        <v>54</v>
      </c>
      <c r="D1" t="s">
        <v>118</v>
      </c>
      <c r="E1" t="s">
        <v>55</v>
      </c>
      <c r="F1" t="s">
        <v>56</v>
      </c>
      <c r="G1" t="s">
        <v>83</v>
      </c>
      <c r="H1" t="s">
        <v>59</v>
      </c>
      <c r="I1" t="s">
        <v>84</v>
      </c>
      <c r="J1" t="s">
        <v>85</v>
      </c>
      <c r="K1" t="s">
        <v>86</v>
      </c>
      <c r="L1" t="s">
        <v>87</v>
      </c>
      <c r="M1" t="s">
        <v>120</v>
      </c>
      <c r="N1" t="s">
        <v>88</v>
      </c>
      <c r="O1" t="s">
        <v>107</v>
      </c>
      <c r="P1" t="s">
        <v>99</v>
      </c>
      <c r="Q1" t="s">
        <v>100</v>
      </c>
      <c r="R1" t="s">
        <v>121</v>
      </c>
      <c r="S1" t="s">
        <v>102</v>
      </c>
      <c r="T1" t="s">
        <v>103</v>
      </c>
      <c r="U1" t="s">
        <v>57</v>
      </c>
      <c r="V1" t="s">
        <v>58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</row>
    <row r="2" spans="2:45" x14ac:dyDescent="0.3">
      <c r="B2" t="s">
        <v>53</v>
      </c>
      <c r="C2" t="s">
        <v>54</v>
      </c>
      <c r="D2" t="s">
        <v>118</v>
      </c>
      <c r="E2" t="s">
        <v>55</v>
      </c>
      <c r="F2" t="s">
        <v>56</v>
      </c>
      <c r="G2" t="s">
        <v>83</v>
      </c>
      <c r="H2" t="s">
        <v>59</v>
      </c>
      <c r="I2" t="s">
        <v>84</v>
      </c>
      <c r="J2" t="s">
        <v>85</v>
      </c>
      <c r="K2" t="s">
        <v>86</v>
      </c>
      <c r="L2" t="s">
        <v>87</v>
      </c>
      <c r="M2" t="s">
        <v>120</v>
      </c>
      <c r="N2" t="s">
        <v>88</v>
      </c>
      <c r="O2" t="s">
        <v>107</v>
      </c>
      <c r="P2" t="s">
        <v>99</v>
      </c>
      <c r="Q2" t="s">
        <v>100</v>
      </c>
      <c r="R2" t="s">
        <v>121</v>
      </c>
      <c r="S2" t="s">
        <v>102</v>
      </c>
      <c r="T2" t="s">
        <v>103</v>
      </c>
      <c r="U2" t="s">
        <v>57</v>
      </c>
      <c r="V2" t="s">
        <v>58</v>
      </c>
      <c r="W2" t="s">
        <v>60</v>
      </c>
      <c r="X2" t="s">
        <v>61</v>
      </c>
      <c r="Y2" t="s">
        <v>62</v>
      </c>
      <c r="Z2" t="s">
        <v>63</v>
      </c>
      <c r="AA2" t="s">
        <v>64</v>
      </c>
      <c r="AB2" t="s">
        <v>65</v>
      </c>
      <c r="AC2" t="s">
        <v>66</v>
      </c>
      <c r="AD2" t="s">
        <v>67</v>
      </c>
      <c r="AE2" t="s">
        <v>68</v>
      </c>
      <c r="AF2" t="s">
        <v>69</v>
      </c>
      <c r="AG2" t="s">
        <v>70</v>
      </c>
      <c r="AH2" t="s">
        <v>71</v>
      </c>
      <c r="AI2" t="s">
        <v>72</v>
      </c>
      <c r="AJ2" t="s">
        <v>73</v>
      </c>
      <c r="AK2" t="s">
        <v>74</v>
      </c>
      <c r="AL2" t="s">
        <v>75</v>
      </c>
      <c r="AM2" t="s">
        <v>76</v>
      </c>
      <c r="AN2" t="s">
        <v>77</v>
      </c>
      <c r="AO2" t="s">
        <v>78</v>
      </c>
      <c r="AP2" t="s">
        <v>79</v>
      </c>
      <c r="AQ2" t="s">
        <v>80</v>
      </c>
      <c r="AR2" t="s">
        <v>81</v>
      </c>
      <c r="AS2" t="s">
        <v>82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2:C7"/>
  <sheetViews>
    <sheetView workbookViewId="0">
      <selection activeCell="B5" sqref="B5:B7"/>
      <pivotSelection pane="bottomRight" showHeader="1" extendable="1" max="2" activeRow="4" activeCol="1" click="1" r:id="rId1">
        <pivotArea dataOnly="0" outline="0" fieldPosition="0">
          <references count="1">
            <reference field="4" count="1">
              <x v="1"/>
            </reference>
          </references>
        </pivotArea>
      </pivotSelection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0.77734375" bestFit="1" customWidth="1"/>
  </cols>
  <sheetData>
    <row r="2" spans="1:3" x14ac:dyDescent="0.3">
      <c r="A2" s="7" t="s">
        <v>118</v>
      </c>
      <c r="B2" t="s">
        <v>47</v>
      </c>
    </row>
    <row r="4" spans="1:3" x14ac:dyDescent="0.3">
      <c r="A4" s="7" t="s">
        <v>109</v>
      </c>
      <c r="B4" s="7" t="s">
        <v>48</v>
      </c>
    </row>
    <row r="5" spans="1:3" x14ac:dyDescent="0.3">
      <c r="A5" s="7" t="s">
        <v>45</v>
      </c>
      <c r="B5" t="s">
        <v>116</v>
      </c>
      <c r="C5" t="s">
        <v>46</v>
      </c>
    </row>
    <row r="6" spans="1:3" x14ac:dyDescent="0.3">
      <c r="A6" s="8" t="s">
        <v>116</v>
      </c>
      <c r="B6" s="16"/>
      <c r="C6" s="16"/>
    </row>
    <row r="7" spans="1:3" x14ac:dyDescent="0.3">
      <c r="A7" s="8" t="s">
        <v>46</v>
      </c>
      <c r="B7" s="16"/>
      <c r="C7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A1:D7"/>
  <sheetViews>
    <sheetView workbookViewId="0">
      <selection activeCell="B5" sqref="B5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1.6640625" bestFit="1" customWidth="1"/>
    <col min="4" max="4" width="10.77734375" bestFit="1" customWidth="1"/>
    <col min="5" max="5" width="7.109375" bestFit="1" customWidth="1"/>
    <col min="6" max="6" width="13.33203125" bestFit="1" customWidth="1"/>
    <col min="7" max="8" width="12.44140625" bestFit="1" customWidth="1"/>
  </cols>
  <sheetData>
    <row r="1" spans="1:4" x14ac:dyDescent="0.3">
      <c r="A1" s="7" t="s">
        <v>118</v>
      </c>
      <c r="B1" t="s">
        <v>47</v>
      </c>
    </row>
    <row r="3" spans="1:4" x14ac:dyDescent="0.3">
      <c r="A3" s="7" t="s">
        <v>110</v>
      </c>
      <c r="B3" s="7" t="s">
        <v>48</v>
      </c>
    </row>
    <row r="4" spans="1:4" x14ac:dyDescent="0.3">
      <c r="B4" t="s">
        <v>116</v>
      </c>
      <c r="C4" t="s">
        <v>119</v>
      </c>
      <c r="D4" t="s">
        <v>46</v>
      </c>
    </row>
    <row r="5" spans="1:4" x14ac:dyDescent="0.3">
      <c r="A5" s="7" t="s">
        <v>45</v>
      </c>
      <c r="B5" t="s">
        <v>116</v>
      </c>
    </row>
    <row r="6" spans="1:4" x14ac:dyDescent="0.3">
      <c r="A6" s="8" t="s">
        <v>116</v>
      </c>
      <c r="B6" s="16"/>
      <c r="C6" s="16"/>
      <c r="D6" s="16"/>
    </row>
    <row r="7" spans="1:4" x14ac:dyDescent="0.3">
      <c r="A7" s="8" t="s">
        <v>46</v>
      </c>
      <c r="B7" s="16"/>
      <c r="C7" s="16"/>
      <c r="D7" s="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2:D8"/>
  <sheetViews>
    <sheetView workbookViewId="0">
      <selection activeCell="A5" sqref="A5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1.6640625" bestFit="1" customWidth="1"/>
    <col min="4" max="4" width="10.77734375" bestFit="1" customWidth="1"/>
    <col min="5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2" spans="1:4" x14ac:dyDescent="0.3">
      <c r="A2" s="7" t="s">
        <v>118</v>
      </c>
      <c r="B2" t="s">
        <v>47</v>
      </c>
    </row>
    <row r="4" spans="1:4" x14ac:dyDescent="0.3">
      <c r="A4" s="7" t="s">
        <v>110</v>
      </c>
      <c r="B4" s="7" t="s">
        <v>48</v>
      </c>
    </row>
    <row r="5" spans="1:4" x14ac:dyDescent="0.3">
      <c r="B5" t="s">
        <v>116</v>
      </c>
      <c r="C5" t="s">
        <v>119</v>
      </c>
      <c r="D5" t="s">
        <v>46</v>
      </c>
    </row>
    <row r="6" spans="1:4" x14ac:dyDescent="0.3">
      <c r="A6" s="7" t="s">
        <v>45</v>
      </c>
      <c r="B6" t="s">
        <v>116</v>
      </c>
    </row>
    <row r="7" spans="1:4" x14ac:dyDescent="0.3">
      <c r="A7" s="8" t="s">
        <v>116</v>
      </c>
      <c r="B7" s="16"/>
      <c r="C7" s="16"/>
      <c r="D7" s="16"/>
    </row>
    <row r="8" spans="1:4" x14ac:dyDescent="0.3">
      <c r="A8" s="8" t="s">
        <v>46</v>
      </c>
      <c r="B8" s="16"/>
      <c r="C8" s="16"/>
      <c r="D8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C7"/>
  <sheetViews>
    <sheetView workbookViewId="0">
      <selection activeCell="AD26" sqref="AD26"/>
    </sheetView>
  </sheetViews>
  <sheetFormatPr defaultRowHeight="14.4" x14ac:dyDescent="0.3"/>
  <cols>
    <col min="1" max="1" width="13.6640625" bestFit="1" customWidth="1"/>
    <col min="2" max="2" width="16.33203125" bestFit="1" customWidth="1"/>
    <col min="3" max="3" width="11.33203125" bestFit="1" customWidth="1"/>
  </cols>
  <sheetData>
    <row r="1" spans="1:3" x14ac:dyDescent="0.3">
      <c r="A1" s="7" t="s">
        <v>53</v>
      </c>
      <c r="B1" t="s">
        <v>116</v>
      </c>
    </row>
    <row r="2" spans="1:3" x14ac:dyDescent="0.3">
      <c r="A2" s="7" t="s">
        <v>118</v>
      </c>
      <c r="B2" t="s">
        <v>47</v>
      </c>
    </row>
    <row r="4" spans="1:3" x14ac:dyDescent="0.3">
      <c r="A4" s="7" t="s">
        <v>111</v>
      </c>
      <c r="B4" s="7" t="s">
        <v>48</v>
      </c>
    </row>
    <row r="5" spans="1:3" x14ac:dyDescent="0.3">
      <c r="A5" s="7" t="s">
        <v>45</v>
      </c>
      <c r="B5" t="s">
        <v>116</v>
      </c>
      <c r="C5" t="s">
        <v>46</v>
      </c>
    </row>
    <row r="6" spans="1:3" x14ac:dyDescent="0.3">
      <c r="A6" s="8" t="s">
        <v>116</v>
      </c>
    </row>
    <row r="7" spans="1:3" x14ac:dyDescent="0.3">
      <c r="A7" s="8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6"/>
  <sheetViews>
    <sheetView workbookViewId="0">
      <selection activeCell="J27" sqref="J27"/>
    </sheetView>
  </sheetViews>
  <sheetFormatPr defaultRowHeight="14.4" x14ac:dyDescent="0.3"/>
  <cols>
    <col min="1" max="1" width="13.109375" bestFit="1" customWidth="1"/>
    <col min="2" max="2" width="22.44140625" bestFit="1" customWidth="1"/>
    <col min="3" max="3" width="22.109375" bestFit="1" customWidth="1"/>
    <col min="4" max="4" width="26" bestFit="1" customWidth="1"/>
    <col min="5" max="5" width="27.44140625" bestFit="1" customWidth="1"/>
    <col min="6" max="6" width="27.109375" bestFit="1" customWidth="1"/>
    <col min="7" max="7" width="31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1" spans="1:4" x14ac:dyDescent="0.3">
      <c r="A1" s="7" t="s">
        <v>118</v>
      </c>
      <c r="B1" t="s">
        <v>47</v>
      </c>
    </row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113</v>
      </c>
      <c r="C4" t="s">
        <v>114</v>
      </c>
      <c r="D4" t="s">
        <v>115</v>
      </c>
    </row>
    <row r="5" spans="1:4" x14ac:dyDescent="0.3">
      <c r="A5" s="8" t="s">
        <v>116</v>
      </c>
    </row>
    <row r="6" spans="1:4" x14ac:dyDescent="0.3">
      <c r="A6" s="8" t="s">
        <v>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3:C8"/>
  <sheetViews>
    <sheetView workbookViewId="0">
      <selection activeCell="J27" sqref="J27"/>
    </sheetView>
  </sheetViews>
  <sheetFormatPr defaultRowHeight="14.4" x14ac:dyDescent="0.3"/>
  <cols>
    <col min="1" max="1" width="13.6640625" bestFit="1" customWidth="1"/>
    <col min="2" max="2" width="16.33203125" bestFit="1" customWidth="1"/>
    <col min="3" max="3" width="11.33203125" bestFit="1" customWidth="1"/>
    <col min="4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3" spans="1:3" x14ac:dyDescent="0.3">
      <c r="A3" s="7" t="s">
        <v>118</v>
      </c>
      <c r="B3" t="s">
        <v>47</v>
      </c>
    </row>
    <row r="5" spans="1:3" x14ac:dyDescent="0.3">
      <c r="A5" s="7" t="s">
        <v>112</v>
      </c>
      <c r="B5" s="7" t="s">
        <v>48</v>
      </c>
    </row>
    <row r="6" spans="1:3" x14ac:dyDescent="0.3">
      <c r="A6" s="7" t="s">
        <v>45</v>
      </c>
      <c r="B6" t="s">
        <v>116</v>
      </c>
      <c r="C6" t="s">
        <v>46</v>
      </c>
    </row>
    <row r="7" spans="1:3" x14ac:dyDescent="0.3">
      <c r="A7" s="8" t="s">
        <v>116</v>
      </c>
    </row>
    <row r="8" spans="1:3" x14ac:dyDescent="0.3">
      <c r="A8" s="8" t="s">
        <v>46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C7"/>
  <sheetViews>
    <sheetView workbookViewId="0">
      <selection activeCell="D33" sqref="D33:D34"/>
    </sheetView>
  </sheetViews>
  <sheetFormatPr defaultRowHeight="14.4" x14ac:dyDescent="0.3"/>
  <cols>
    <col min="1" max="1" width="13.6640625" bestFit="1" customWidth="1"/>
    <col min="2" max="2" width="16.33203125" bestFit="1" customWidth="1"/>
    <col min="3" max="3" width="11.33203125" bestFit="1" customWidth="1"/>
    <col min="4" max="4" width="25.6640625" bestFit="1" customWidth="1"/>
  </cols>
  <sheetData>
    <row r="2" spans="1:3" x14ac:dyDescent="0.3">
      <c r="A2" s="7" t="s">
        <v>118</v>
      </c>
      <c r="B2" t="s">
        <v>47</v>
      </c>
    </row>
    <row r="4" spans="1:3" x14ac:dyDescent="0.3">
      <c r="A4" s="7" t="s">
        <v>112</v>
      </c>
      <c r="B4" s="7" t="s">
        <v>48</v>
      </c>
    </row>
    <row r="5" spans="1:3" x14ac:dyDescent="0.3">
      <c r="A5" s="7" t="s">
        <v>45</v>
      </c>
      <c r="B5" t="s">
        <v>116</v>
      </c>
      <c r="C5" t="s">
        <v>46</v>
      </c>
    </row>
    <row r="6" spans="1:3" x14ac:dyDescent="0.3">
      <c r="A6" s="8" t="s">
        <v>116</v>
      </c>
    </row>
    <row r="7" spans="1:3" x14ac:dyDescent="0.3">
      <c r="A7" s="8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1:D6"/>
  <sheetViews>
    <sheetView workbookViewId="0">
      <selection activeCell="D33" sqref="D33:D34"/>
    </sheetView>
  </sheetViews>
  <sheetFormatPr defaultRowHeight="14.4" x14ac:dyDescent="0.3"/>
  <cols>
    <col min="1" max="1" width="13.109375" bestFit="1" customWidth="1"/>
    <col min="2" max="2" width="22.44140625" bestFit="1" customWidth="1"/>
    <col min="3" max="3" width="22.109375" bestFit="1" customWidth="1"/>
    <col min="4" max="4" width="26" bestFit="1" customWidth="1"/>
    <col min="5" max="5" width="27.44140625" bestFit="1" customWidth="1"/>
    <col min="6" max="6" width="27.109375" bestFit="1" customWidth="1"/>
    <col min="7" max="7" width="31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1" spans="1:4" x14ac:dyDescent="0.3">
      <c r="A1" s="7" t="s">
        <v>118</v>
      </c>
      <c r="B1" t="s">
        <v>47</v>
      </c>
    </row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113</v>
      </c>
      <c r="C4" t="s">
        <v>114</v>
      </c>
      <c r="D4" t="s">
        <v>115</v>
      </c>
    </row>
    <row r="5" spans="1:4" x14ac:dyDescent="0.3">
      <c r="A5" s="8" t="s">
        <v>116</v>
      </c>
    </row>
    <row r="6" spans="1:4" x14ac:dyDescent="0.3">
      <c r="A6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Data</vt:lpstr>
      <vt:lpstr>Demand01</vt:lpstr>
      <vt:lpstr>Gen01</vt:lpstr>
      <vt:lpstr>Gen02</vt:lpstr>
      <vt:lpstr>bus01</vt:lpstr>
      <vt:lpstr>Lines01</vt:lpstr>
      <vt:lpstr>Lines02</vt:lpstr>
      <vt:lpstr>Trafos02</vt:lpstr>
      <vt:lpstr>Trafos01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2023-01-20T21:14:35Z</dcterms:modified>
</cp:coreProperties>
</file>